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
    </mc:Choice>
  </mc:AlternateContent>
  <xr:revisionPtr revIDLastSave="0" documentId="11_F37CF5B170E89B02D814A56F2F16364F5218CAE9" xr6:coauthVersionLast="47" xr6:coauthVersionMax="47" xr10:uidLastSave="{00000000-0000-0000-0000-000000000000}"/>
  <bookViews>
    <workbookView xWindow="-108" yWindow="-108" windowWidth="23256" windowHeight="12456" firstSheet="2" activeTab="6" xr2:uid="{00000000-000D-0000-FFFF-FFFF00000000}"/>
  </bookViews>
  <sheets>
    <sheet name="Cover" sheetId="1" r:id="rId1"/>
    <sheet name="Test case List" sheetId="2" r:id="rId2"/>
    <sheet name="TestDesign" sheetId="3" r:id="rId3"/>
    <sheet name="Tasks_CreatePro" sheetId="4" r:id="rId4"/>
    <sheet name="Tasks_ValPro" sheetId="5" r:id="rId5"/>
    <sheet name="Tasks_CreateTask" sheetId="6" r:id="rId6"/>
    <sheet name="Tasks_UpdateProg" sheetId="7" r:id="rId7"/>
    <sheet name="Tasks_SearchPro" sheetId="8" r:id="rId8"/>
    <sheet name="Tasks_StatusPro" sheetId="9" r:id="rId9"/>
    <sheet name="Test Report"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6" i="10" l="1"/>
  <c r="C16" i="10"/>
  <c r="C15" i="10"/>
  <c r="I14" i="10"/>
  <c r="C14" i="10"/>
  <c r="C13" i="10"/>
  <c r="C12" i="10"/>
  <c r="E11" i="10"/>
  <c r="C11" i="10"/>
  <c r="C4" i="10"/>
  <c r="C3" i="10"/>
  <c r="F6" i="9"/>
  <c r="E6" i="9"/>
  <c r="C6" i="9" s="1"/>
  <c r="F16" i="10" s="1"/>
  <c r="D6" i="9"/>
  <c r="G16" i="10" s="1"/>
  <c r="B6" i="9"/>
  <c r="E16" i="10" s="1"/>
  <c r="A6" i="9"/>
  <c r="D16" i="10" s="1"/>
  <c r="F6" i="8"/>
  <c r="C6" i="8" s="1"/>
  <c r="F15" i="10" s="1"/>
  <c r="E6" i="8"/>
  <c r="H15" i="10" s="1"/>
  <c r="D6" i="8"/>
  <c r="G15" i="10" s="1"/>
  <c r="B6" i="8"/>
  <c r="E15" i="10" s="1"/>
  <c r="A6" i="8"/>
  <c r="D15" i="10" s="1"/>
  <c r="F6" i="7"/>
  <c r="E6" i="7"/>
  <c r="C6" i="7" s="1"/>
  <c r="F14" i="10" s="1"/>
  <c r="D6" i="7"/>
  <c r="G14" i="10" s="1"/>
  <c r="B6" i="7"/>
  <c r="E14" i="10" s="1"/>
  <c r="A6" i="7"/>
  <c r="D14" i="10" s="1"/>
  <c r="F6" i="6"/>
  <c r="C6" i="6" s="1"/>
  <c r="F13" i="10" s="1"/>
  <c r="E6" i="6"/>
  <c r="H13" i="10" s="1"/>
  <c r="D6" i="6"/>
  <c r="G13" i="10" s="1"/>
  <c r="B6" i="6"/>
  <c r="E13" i="10" s="1"/>
  <c r="A6" i="6"/>
  <c r="D13" i="10" s="1"/>
  <c r="F6" i="5"/>
  <c r="I12" i="10" s="1"/>
  <c r="E6" i="5"/>
  <c r="H12" i="10" s="1"/>
  <c r="D6" i="5"/>
  <c r="G12" i="10" s="1"/>
  <c r="B6" i="5"/>
  <c r="E12" i="10" s="1"/>
  <c r="A6" i="5"/>
  <c r="D12" i="10" s="1"/>
  <c r="F6" i="4"/>
  <c r="C6" i="4" s="1"/>
  <c r="F11" i="10" s="1"/>
  <c r="E6" i="4"/>
  <c r="H11" i="10" s="1"/>
  <c r="D6" i="4"/>
  <c r="G11" i="10" s="1"/>
  <c r="B6" i="4"/>
  <c r="A6" i="4"/>
  <c r="D11" i="10" s="1"/>
  <c r="D4" i="2"/>
  <c r="D3" i="2"/>
  <c r="E17" i="10" l="1"/>
  <c r="D17" i="10"/>
  <c r="G17" i="10"/>
  <c r="H14" i="10"/>
  <c r="H17" i="10" s="1"/>
  <c r="H16" i="10"/>
  <c r="C6" i="5"/>
  <c r="F12" i="10" s="1"/>
  <c r="F17" i="10" s="1"/>
  <c r="I11" i="10"/>
  <c r="I13" i="10"/>
  <c r="I15" i="10"/>
  <c r="I17" i="10" l="1"/>
  <c r="E20" i="10"/>
  <c r="E19" i="10"/>
</calcChain>
</file>

<file path=xl/sharedStrings.xml><?xml version="1.0" encoding="utf-8"?>
<sst xmlns="http://schemas.openxmlformats.org/spreadsheetml/2006/main" count="467" uniqueCount="262">
  <si>
    <t>TEST CASE</t>
  </si>
  <si>
    <t>Project Name</t>
  </si>
  <si>
    <t>DOLIBARR</t>
  </si>
  <si>
    <t>Creator</t>
  </si>
  <si>
    <t>Vũ Quang Huy</t>
  </si>
  <si>
    <t>Project Code</t>
  </si>
  <si>
    <t>Reviewer/Approver</t>
  </si>
  <si>
    <t>Document Code</t>
  </si>
  <si>
    <t>DOLIBARR_TestCase</t>
  </si>
  <si>
    <t>Issue Date</t>
  </si>
  <si>
    <t>Version</t>
  </si>
  <si>
    <t>0.1</t>
  </si>
  <si>
    <t>Record of change</t>
  </si>
  <si>
    <t>Effective Date</t>
  </si>
  <si>
    <t>Change Item</t>
  </si>
  <si>
    <t>*A,D,M</t>
  </si>
  <si>
    <t>Change description</t>
  </si>
  <si>
    <t>Reference</t>
  </si>
  <si>
    <t>20/10/2026</t>
  </si>
  <si>
    <t>Projects &amp; Tasks</t>
  </si>
  <si>
    <t>A</t>
  </si>
  <si>
    <t>Created 27 test cases</t>
  </si>
  <si>
    <t>Assignment 6</t>
  </si>
  <si>
    <t>TEST CASE LIST</t>
  </si>
  <si>
    <t>Test Environment Setup Description</t>
  </si>
  <si>
    <t>Dolibarr ERP &amp; CRM demo 24.0.2; Google Chrome; authorized Projects &amp; Tasks module access.</t>
  </si>
  <si>
    <t>No</t>
  </si>
  <si>
    <t>Function Name</t>
  </si>
  <si>
    <t>Sheet Name</t>
  </si>
  <si>
    <t>Description</t>
  </si>
  <si>
    <t>Pre-Condition</t>
  </si>
  <si>
    <t>Tạo dự án mới (Create New Project/Lead)</t>
  </si>
  <si>
    <t>Tasks_CreatePro</t>
  </si>
  <si>
    <t>Kiểm tra chức năng tạo dự án mới, lưu thông tin khách hàng, trạng thái Lead status và quyền xem</t>
  </si>
  <si>
    <t>Đã đăng nhập vào hệ thống Dolibarr với tài khoản có quyền Quản lý Dự án</t>
  </si>
  <si>
    <t>Duyệt dự án</t>
  </si>
  <si>
    <t>Tasks_ValPro</t>
  </si>
  <si>
    <t>Kiểm tra việc phê duyệt dự án từ trạng thái Nháp sang trạng thái Valid để cho phép tạo Task</t>
  </si>
  <si>
    <t>Dự án đã được tạo bởi trạng thái Nháp</t>
  </si>
  <si>
    <t>Tạo công việc mới</t>
  </si>
  <si>
    <t>Tasks_CreateTask</t>
  </si>
  <si>
    <t>Kiểm tra chức năng tạo công việc mới gán cho dự án, nhập thời gian dự kiến và thời hạn</t>
  </si>
  <si>
    <t>Dự án đã ở trạng thái phác thảo cho lần đầu tiên</t>
  </si>
  <si>
    <t>Cập nhật tiến độ công việc</t>
  </si>
  <si>
    <t>Tasks_UpdateProg</t>
  </si>
  <si>
    <t>Kiểm tra việc cập nhật phần trăm hoàn thành của Task và tự động chuyển trạng thái khi đạt 100%</t>
  </si>
  <si>
    <t>Task đã tồn tại trong danh sách công việc</t>
  </si>
  <si>
    <t>Tìm kiếm &amp; Lọc danh sách Dự án</t>
  </si>
  <si>
    <t>Tasks_SearchPro</t>
  </si>
  <si>
    <t>Kiểm tra bộ lọc danh sách dự án theo từ khóa, trạng thái, Third party và Lead status</t>
  </si>
  <si>
    <t>Đã có danh sách các Dự án tồn tại trên hệ thống</t>
  </si>
  <si>
    <t>Đóng / Đổi trạng thái Task (Close Task)</t>
  </si>
  <si>
    <t>Tasks_StatusPro</t>
  </si>
  <si>
    <t>Kiểm tra việc chuyển trạng thái Task sang Đã đóng hoặc Mở lại</t>
  </si>
  <si>
    <t>Task đang ở trạng thái Hoạt động</t>
  </si>
  <si>
    <t>Requirement Level 1</t>
  </si>
  <si>
    <t>Requirement Level 2</t>
  </si>
  <si>
    <t>Requirement Level 3</t>
  </si>
  <si>
    <t>Test Criteria</t>
  </si>
  <si>
    <t>Test Type</t>
  </si>
  <si>
    <t>Note</t>
  </si>
  <si>
    <t>1. Projects / Tasks Management</t>
  </si>
  <si>
    <t>1.1 Create Project</t>
  </si>
  <si>
    <t>Screen / Displaying</t>
  </si>
  <si>
    <t>Check displaying New lead or project screen by clicking [New lead or project]</t>
  </si>
  <si>
    <t>GUI</t>
  </si>
  <si>
    <t>admin_Pro/Tasks_CreatePro_01</t>
  </si>
  <si>
    <t>Successful create / Full data</t>
  </si>
  <si>
    <t>Check creating a new project successfully with all valid fields (Ref, Title, Third party, Visibility, Lead status, Lead amount)</t>
  </si>
  <si>
    <t>Function</t>
  </si>
  <si>
    <t>Successful create / Minimum data</t>
  </si>
  <si>
    <t>Check creating a project with required field only (Title) and optional fields empty</t>
  </si>
  <si>
    <t>admin_Pro/Tasks_CreatePro_02</t>
  </si>
  <si>
    <t>Required field / Title</t>
  </si>
  <si>
    <t>Check reject creation when 'Title' field is left empty</t>
  </si>
  <si>
    <t>admin_Pro/Tasks_CreatePro_03</t>
  </si>
  <si>
    <t>Field value / Visibility</t>
  </si>
  <si>
    <t>Check creating a project with visibility set to 'Project contacts only'</t>
  </si>
  <si>
    <t>admin_Pro/Tasks_CreatePro_04</t>
  </si>
  <si>
    <t>Cancel creation</t>
  </si>
  <si>
    <t>Check cancel creating a project form without saving</t>
  </si>
  <si>
    <t>admin_Pro/Tasks_CreatePro_05</t>
  </si>
  <si>
    <t>Checkbox / Opportunity &amp; Time spent</t>
  </si>
  <si>
    <t>Check creating a draft project with both 'Follow opportunity' and 'Follow tasks or time spent' unchecked</t>
  </si>
  <si>
    <t>admin_Pro/Tasks_CreatePro_06</t>
  </si>
  <si>
    <t>Business Logic / Validation</t>
  </si>
  <si>
    <t>Check error message when 'Follow opportunity' is checked but 'Lead status' is left empty</t>
  </si>
  <si>
    <t>admin_Pro/Tasks_CreatePro_07</t>
  </si>
  <si>
    <t>1.2 Validate Project</t>
  </si>
  <si>
    <t>Change Status / Draft to Open</t>
  </si>
  <si>
    <t>Check validate a single draft project directly from its detail screen</t>
  </si>
  <si>
    <t>admin_Pro/Tasks_ValPro_01</t>
  </si>
  <si>
    <t>Bulk Operation / Validate</t>
  </si>
  <si>
    <t>Check select multiple draft projects using checkboxes and validate them simultaneously via bulk action</t>
  </si>
  <si>
    <t>admin_Pro/Tasks_ValPro_02</t>
  </si>
  <si>
    <t>Filter / Draft only</t>
  </si>
  <si>
    <t>Check filter project list to display only Draft projects for validation</t>
  </si>
  <si>
    <t>admin_Pro/Tasks_ValPro_03</t>
  </si>
  <si>
    <t>Validation Error / Open project</t>
  </si>
  <si>
    <t>Check error when attempting bulk validation on already Open project</t>
  </si>
  <si>
    <t>admin_Pro/Tasks_ValPro_04</t>
  </si>
  <si>
    <t>1.3 Create Task</t>
  </si>
  <si>
    <t>Screen / Layout</t>
  </si>
  <si>
    <t>Check opening Create Event/Task screen and fields layout</t>
  </si>
  <si>
    <t>admin_Pro/Tasks_CreateTask_01</t>
  </si>
  <si>
    <t>Check creating a new event/task linked to a project with full valid information</t>
  </si>
  <si>
    <t>Field value / Full day event</t>
  </si>
  <si>
    <t>Check creating an event with 'Full day', 'Type', and assigned 'Users' selected</t>
  </si>
  <si>
    <t>admin_Pro/Tasks_CreateTask_02</t>
  </si>
  <si>
    <t>Field value / Type Other</t>
  </si>
  <si>
    <t>Check creating an event/task with Type set to 'Other'</t>
  </si>
  <si>
    <t>admin_Pro/Tasks_CreateTask_03</t>
  </si>
  <si>
    <t>Navigation / Sub-task link</t>
  </si>
  <si>
    <t>Check creating an event linked directly to a sub-task in the project</t>
  </si>
  <si>
    <t>admin_Pro/Tasks_CreateTask_04</t>
  </si>
  <si>
    <t>1.4 Update Progress</t>
  </si>
  <si>
    <t>Quick Edit / Progress</t>
  </si>
  <si>
    <t>Check selecting a task and updating its Status/Progress to 'To do' with %</t>
  </si>
  <si>
    <t>admin_Pro/Tasks_UpdateProg_01</t>
  </si>
  <si>
    <t>Update Progress value</t>
  </si>
  <si>
    <t>Check updating Task Progress percentage from 0% to 50%</t>
  </si>
  <si>
    <t>admin_Pro/Tasks_UpdateProg_02</t>
  </si>
  <si>
    <t>Status Auto-transition</t>
  </si>
  <si>
    <t>Check updating Task Progress to 100% and system auto-changes status to 'Finished'</t>
  </si>
  <si>
    <t>admin_Pro/Tasks_UpdateProg_03</t>
  </si>
  <si>
    <t>Edit Task Details</t>
  </si>
  <si>
    <t>Check editing fields (Location, Tags, Description) while preserving current Progress value</t>
  </si>
  <si>
    <t>admin_Pro/Tasks_UpdateProg_04</t>
  </si>
  <si>
    <t>Delete Task</t>
  </si>
  <si>
    <t>Check deleting a task from the project event list and confirming deletion</t>
  </si>
  <si>
    <t>admin_Pro/Tasks_UpdateProg_05</t>
  </si>
  <si>
    <t>1.5 Search &amp; Filter</t>
  </si>
  <si>
    <t>Combined Filters</t>
  </si>
  <si>
    <t>Check filtering projects by combining keywords, Status, Third party, and Lead status</t>
  </si>
  <si>
    <t>admin_Pro/Tasks_SearchPro_01</t>
  </si>
  <si>
    <t>Filter by Keyword</t>
  </si>
  <si>
    <t>Check searching projects using a specific keyword in the Project label/title</t>
  </si>
  <si>
    <t>admin_Pro/Tasks_SearchPro_02</t>
  </si>
  <si>
    <t>1.6 Status Management</t>
  </si>
  <si>
    <t>Change Status / Form Modify</t>
  </si>
  <si>
    <t>Check changing project status among Draft, Open, and Closed using Modify button</t>
  </si>
  <si>
    <t>admin_Pro/Tasks_StatusPro_01</t>
  </si>
  <si>
    <t>Change Status / Open to Closed</t>
  </si>
  <si>
    <t>Check changing project status from Open to Closed in Modify form</t>
  </si>
  <si>
    <t>admin_Pro/Tasks_StatusPro_02</t>
  </si>
  <si>
    <t>Change Status / Closed to Open</t>
  </si>
  <si>
    <t>Check re-opening a Closed project back to Open status</t>
  </si>
  <si>
    <t>admin_Pro/Tasks_StatusPro_03</t>
  </si>
  <si>
    <t>Quick Action / Direct Close</t>
  </si>
  <si>
    <t>Check closing a project directly using quick button [Close] and confirming prompt</t>
  </si>
  <si>
    <t>admin_Pro/Tasks_StatusPro_04</t>
  </si>
  <si>
    <t>Quick Action / Back to Draft</t>
  </si>
  <si>
    <t>Check reverting a project back to Draft status directly via [Back to draft] button</t>
  </si>
  <si>
    <t>admin_Pro/Tasks_StatusPro_05</t>
  </si>
  <si>
    <t>Module Code</t>
  </si>
  <si>
    <t>Test requirement</t>
  </si>
  <si>
    <t>Tester</t>
  </si>
  <si>
    <t>Passed</t>
  </si>
  <si>
    <t>Failed</t>
  </si>
  <si>
    <t>Untested</t>
  </si>
  <si>
    <t>Blocked</t>
  </si>
  <si>
    <t>Skipped</t>
  </si>
  <si>
    <t>Number of Test cases</t>
  </si>
  <si>
    <t>ID</t>
  </si>
  <si>
    <t>Test Case Description</t>
  </si>
  <si>
    <t>Test Case Procedure</t>
  </si>
  <si>
    <t>Expected Output</t>
  </si>
  <si>
    <t>Inter-test case Dependence</t>
  </si>
  <si>
    <t>Result</t>
  </si>
  <si>
    <t>Test date</t>
  </si>
  <si>
    <t>Verify creating a new project successfully when entering all required valid information</t>
  </si>
  <si>
    <t>1. On homepage, open Projects menu then select "New land or project"
2. Enter ref = "PJ2610-0100", title = "Website Design", select third party = "11Teamsport", visibility = "Everybody", lead status = "Prospection" and enter lead amount = "5000"
3. Click "Create project"</t>
  </si>
  <si>
    <t>1. Projects management page is displayed
2. "New land or project" creation form appears
3. 
4. Project is created successfully with "Draft" status, screen navigates to detail page displaying correct entered information</t>
  </si>
  <si>
    <t>Verify creating a project when only filling in required field (title)</t>
  </si>
  <si>
    <t>1. On homepage, open Projects menu then select "New land or project"
2. Enter title = "System Maintenance Project", leave non-required fields blank
3. Click "Create project"</t>
  </si>
  <si>
    <t>1. Projects management page is displayed
2. "New land or project" creation form appears
3. 
4. Project is created successfully, system automatically generates new code and saves in "Draft" status</t>
  </si>
  <si>
    <t>Verify error message when leaving required field (title) blank</t>
  </si>
  <si>
    <t>1. On homepage, open Projects menu then select "New land or project"
2. Leave title box blank, select third party = "11Teamsport"
3. Click "Create project"</t>
  </si>
  <si>
    <t>1. Projects management page is displayed
2. "New land or project" creation form appears
3. 
4. System displays error message "Field 'Label/Title' is required" and does not allow saving project</t>
  </si>
  <si>
    <t>Verify creating a project with restricted viewing permissions (project contacts only)</t>
  </si>
  <si>
    <t>1. On homepage, open Projects menu then select "New land or project"
2. Enter title = "Internet Optimization Project", select visibility = "Project contacts only"
3. Click "Create project"</t>
  </si>
  <si>
    <t>1. Projects management page is displayed
2. "New land or project" creation form appears
3. 
4. Project is created successfully and only accounts listed in Project Contacts have permission to view</t>
  </si>
  <si>
    <t>Verify Cancel button when filling out creation form</t>
  </si>
  <si>
    <t>1. On homepage, open Projects menu then select "New land or project"
2. Enter title = "Trial Project"
3. Click "Cancel"</t>
  </si>
  <si>
    <t>1. Projects management page is displayed
2. "New land or project" creation form appears
3. 
4. Creation action is canceled, information is not saved and system returns to project list page</t>
  </si>
  <si>
    <t>Verify creating a project when unchecking both options "Follow opportunity" and "Follow tasks or time spent"</t>
  </si>
  <si>
    <t>1. On homepage, open Projects menu then select "New land or project"
2. Enter title = "Internal Reference Project"
3. Uncheck "Follow opportunity" and uncheck "Follow tasks or time spent"
4. Click "Create project"</t>
  </si>
  <si>
    <t>1. Projects management page is displayed
2. "New land or project" creation form appears
3. 
4. 
5. Project is created successfully, in project detail view, opportunity tracking section (Lead) and task/time management tabs will be hidden</t>
  </si>
  <si>
    <t>Verify error message when checking "Follow opportunity" but leaving "Lead status" blank</t>
  </si>
  <si>
    <t>1. On homepage, open Projects menu then select "New land or project"
2. Enter title = "New Opportunity Project"
3. Check "Follow opportunity" and check "Follow tasks or time spent"
4. Leave "Lead status" field blank
5. Click "Create project"</t>
  </si>
  <si>
    <t>1. Projects management page is displayed
2. "New land or project" creation form appears
3. 
4. 
5. 
6. System displays error message "You choose to follow an opportunity in this project, so you must also fill out the Lead status." and does not allow creating project</t>
  </si>
  <si>
    <t>Verify approving project directly in detail page (Draft to Open)</t>
  </si>
  <si>
    <t>1. Open Projects list page then select a project in "Draft" status
2. Click "Validate" button at bottom of screen
3. When confirmation popup appears, click "Yes"</t>
  </si>
  <si>
    <t>1. Project detail screen displays with grey "Draft" label
2. Approval confirmation window appears
3. Project switches to "Open" status with green label, "Validate" button disappears</t>
  </si>
  <si>
    <t>Verify approving project by checking checkbox in list view (batch action)</t>
  </si>
  <si>
    <t>1. Open Projects list page
2. Check checkbox on left of project in "Draft" status (e.g. PJ2610-0016)
3. In "Select action" dropdown above, select "Validate"
4. Click "Confirm"</t>
  </si>
  <si>
    <t>1. Project list page is displayed
2. Checkbox of project PJ2610-0016 is selected
3. List displays action selection dropdown with "Validate" option
4. Project PJ2610-0016 is validated successfully, status changes from "Draft" to "Open"</t>
  </si>
  <si>
    <t>Verify filtering list to only display "Draft" projects for approval</t>
  </si>
  <si>
    <t>1. Go to Projects list page
2. In Status filter box at top right, click 'x' on "Open" tag (retaining only "Draft")
3. Click magnifying glass icon to search</t>
  </si>
  <si>
    <t>1. Project list screen is displayed
2. "Open" tag is removed from filter, retaining only "Draft"
3. System filters and displays list of all projects in "Draft" status</t>
  </si>
  <si>
    <t>Verify error when attempting to approve project already in "Open" status</t>
  </si>
  <si>
    <t>1. Go to Projects list page
2. Check checkbox on left of project in "Open" status (e.g. PJ2610-0013)
3. In "Select action", select "Validate"
4. Click "Confirm"</t>
  </si>
  <si>
    <t>1. Project list screen is displayed
2. Checkbox of project PJ2610-0013 is selected
3. Screen displays action list
4. System displays error message "Object PJ2610-0013 must have status 'Draft' to be validated." and no change occurs</t>
  </si>
  <si>
    <t>Verify creating a task or event with full information</t>
  </si>
  <si>
    <t>1. Go to Tasks/activities or Organized events menu, then click "New"
2. Enter title = "Project implementation plan meeting"
3. Select type = "Meetings", select project = "PJ2610-0011, follo - Company Corp 1"
4. Click "Create"</t>
  </si>
  <si>
    <t>1. Creation form is displayed
2. "Create an event" form displays full fields
3. 
4. Event is created successfully and navigates to detail screen displaying entered information</t>
  </si>
  <si>
    <t>Verify creating all-day event, changing Type, checking "Event on all day(s)" and unchecking "Busy"</t>
  </si>
  <si>
    <t>1. Open "Create an event" form
2. Enter title = "All-day work event"
3. Select type = "Other"
4. Check "Event on all day(s)"
5. Uncheck "Busy" for assigned person
6. Select project = "PJ2610-0011, follo - Company Corp 1"
7. Click "Create"</t>
  </si>
  <si>
    <t>1. "Create an event" form displays
2. 
3. 
4. Timeframe switches to all-day event mode
5. Assignee status is not marked as busy in calendar
6. 
7. Event is created successfully with all-day duration and no busy flag</t>
  </si>
  <si>
    <t>Verify creating an event or task selecting Type as Other</t>
  </si>
  <si>
    <t>1. Open "Create an event" form
2. Enter title = "Other ad-hoc work"
3. Select type = "Other"
4. Select project = "PJ2610-0011, follo - Company Corp 1"
5. Click "Create"</t>
  </si>
  <si>
    <t>1. "Create an event" form displays
2. 
3. 
4. 
5. Event is saved successfully and classified as "Other" in system</t>
  </si>
  <si>
    <t>Verify creating an event linked directly to a sub-task in the project</t>
  </si>
  <si>
    <t>1. Open "Create an event" form
2. Enter title = "Detailed work discussion"
3. Select project = "PJ2610-0011, follo - Company Corp 1"
4. In Task field, select a sub-task belonging to this project
5. Click "Create"</t>
  </si>
  <si>
    <t>1. "Create an event" form displays
2. 
3. 
4. List of sub-tasks belonging to project displays for selection
5. Event is created successfully and linked directly to selected task</t>
  </si>
  <si>
    <t>Verify selecting work from project and updating Status / Progress to To-do with %</t>
  </si>
  <si>
    <t>1. Go to Leads | Projects menu select List (or List open projects)
2. Select project PJ2610-0011 then open Event card of task in project
3. Click "Modify" button at bottom of detail page
4. In Status / Progress section, select "To do" status and enter % (e.g. 10%)
5. Click "Save"</t>
  </si>
  <si>
    <t>1. Project list page is displayed
2. Detailed Event card screen is displayed
3. Event card edit form appears
4. 
5. Saved successfully, task information displays in "To do" status with 10% progress</t>
  </si>
  <si>
    <t>Verify updating Status / Progress to In progress with 50%</t>
  </si>
  <si>
    <t>1. On task Event card detail screen, click "Modify"
2. In Status / Progress section, select "In progress" and enter progress = 50%
3. Click "Save"</t>
  </si>
  <si>
    <t>1. Event card edit form is displayed
2. 
3. Saved successfully, task status changes to "In progress" with 50% progress</t>
  </si>
  <si>
    <t>Verify updating Status / Progress to Finished (completed 100%)</t>
  </si>
  <si>
    <t>1. On task Event card detail screen, click "Modify"
2. In Status / Progress section, select "Finished" (system auto-fills 100%)
3. Click "Save"</t>
  </si>
  <si>
    <t>1. Event card edit form is displayed
2. 
3. Saved successfully, task status changes to "Finished" and displays Complete tag (100%)</t>
  </si>
  <si>
    <t>Verify adding additional information Location, Tags, Description while maintaining status as In progress</t>
  </si>
  <si>
    <t>1. On task Event card detail screen, click "Modify"
2. Enter additional info into Location, Tags/categories, Description fields
3. Keep Status / Progress as "In progress" (50%)
4. Click "Save"</t>
  </si>
  <si>
    <t>1. Event card edit form is displayed
2. 
3. 
4. Saved successfully, additional information is updated completely while status remains "In progress"</t>
  </si>
  <si>
    <t>Verify deleting work or event</t>
  </si>
  <si>
    <t>1. On task Event card detail screen, click "Delete" button at bottom right
2. When confirmation window appears, click "Confirm" (or "Yes")</t>
  </si>
  <si>
    <t>1. Deletion confirmation dialog appears
2. Event is completely deleted from system and screen returns to list view</t>
  </si>
  <si>
    <t>Verify search functionality when filling all fields in search bar</t>
  </si>
  <si>
    <t>1. Go to Projects menu select List
2. Enter keyword in Ref = "PJ2610", Project label = "follo", select Third party = "Company Corp 1", select Lead status = "Negotiation"
3. Click magnifying glass icon (or press Enter)</t>
  </si>
  <si>
    <t>1. Project list page is displayed
2. 
3. System filters and returns correct projects matching all entered criteria</t>
  </si>
  <si>
    <t>Verify search functionality by single field (e.g. Project label)</t>
  </si>
  <si>
    <t>1. Go to Projects menu select List
2. Enter keyword in Project label field (e.g. "follo")
3. Click magnifying glass icon (or press Enter)</t>
  </si>
  <si>
    <t>1. Project list page is displayed
2. 
3. System filters out projects containing keyword "follo"</t>
  </si>
  <si>
    <t>Verify changing project status in Modify form when selecting between (Draft, Open, Closed) and choosing Open</t>
  </si>
  <si>
    <t>1. On left menu, go to Leads | Projects select List
2. Click any project detail (e.g. PJ2610-0011)
3. Click "Modify" button at bottom of detail page
4. In Status field, select "Open" option
5. Click "Save"</t>
  </si>
  <si>
    <t>1. Project list is displayed
2. Project detail page is displayed
3. Edit form opens with Status options: Draft, Open, Closed
4. 
5. Project saved successfully with Open status (green label)</t>
  </si>
  <si>
    <t>Verify changing project status from Open to Closed in Modify form</t>
  </si>
  <si>
    <t>1. On project detail page in Open status, click "Modify"
2. In Status field, change from Open to Closed
3. Click "Save"</t>
  </si>
  <si>
    <t>1. Project edit form is displayed
2. 
3. Project successfully switches to Closed status</t>
  </si>
  <si>
    <t>Verify reopening project from Closed to Open in Modify form</t>
  </si>
  <si>
    <t>1. On project detail page in Closed status, click "Modify"
2. In Status field, change from Closed to Open
3. Click "Save"</t>
  </si>
  <si>
    <t>1. Project edit form is displayed
2. 
3. Project saved successfully, status restored to Open</t>
  </si>
  <si>
    <t>Verify closing project directly via Close button on detail screen</t>
  </si>
  <si>
    <t>1. On project detail page in Open status, directly click "Close" button next to action buttons below
2. When confirmation window appears, click "Confirm" (or "Yes")</t>
  </si>
  <si>
    <t>1. Confirmation dialog for closing project appears
2. Project immediately switches to Closed status without entering Modify form</t>
  </si>
  <si>
    <t>Verify restoring project to draft via Back to draft button directly</t>
  </si>
  <si>
    <t>1. On project detail page, directly click "Back to draft" button next to action buttons below
2. When confirmation window appears, click "Confirm" (or "Yes")</t>
  </si>
  <si>
    <t>1. Confirmation dialog for reverting to draft appears
2. Project status changes to Draft successfully and "Validate" button reappears</t>
  </si>
  <si>
    <t>TEST REPORT</t>
  </si>
  <si>
    <t>DOLIBARR_Test Report</t>
  </si>
  <si>
    <t>Notes</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</si>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</sst>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000000"/>
      <name val="Arial"/>
    </font>
    <font>
      <b/>
      <sz val="10"/>
      <color rgb="FF993300"/>
      <name val="Arial"/>
    </font>
    <font>
      <sz val="10"/>
      <color rgb="FF008000"/>
      <name val="Arial"/>
    </font>
    <font>
      <b/>
      <sz val="11"/>
      <color rgb="FFFFFFFF"/>
      <name val="Arial"/>
    </font>
    <font>
      <sz val="10"/>
      <color rgb="FF000000"/>
      <name val="Arial"/>
    </font>
    <font>
      <b/>
      <sz val="10"/>
      <color rgb="FF000000"/>
      <name val="Arial"/>
    </font>
  </fonts>
  <fills count="5">
    <fill>
      <patternFill patternType="none"/>
    </fill>
    <fill>
      <patternFill patternType="gray125"/>
    </fill>
    <fill>
      <patternFill patternType="solid">
        <fgColor rgb="FF000080"/>
        <bgColor rgb="FF000080"/>
      </patternFill>
    </fill>
    <fill>
      <patternFill patternType="solid">
        <fgColor rgb="FF333399"/>
        <bgColor rgb="FF333399"/>
      </patternFill>
    </fill>
    <fill>
      <patternFill patternType="solid">
        <fgColor rgb="FFF2F2F2"/>
        <bgColor rgb="FFF2F2F2"/>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8">
    <xf numFmtId="0" fontId="0" fillId="0" borderId="0" xfId="0"/>
    <xf numFmtId="0" fontId="2" fillId="0" borderId="0" xfId="0" applyFont="1"/>
    <xf numFmtId="0" fontId="3" fillId="0" borderId="0" xfId="0" applyFont="1"/>
    <xf numFmtId="0" fontId="4" fillId="2" borderId="0" xfId="0" applyFont="1" applyFill="1" applyAlignment="1">
      <alignment horizontal="center" vertical="center" wrapText="1"/>
    </xf>
    <xf numFmtId="0" fontId="5" fillId="0" borderId="1" xfId="0" applyFont="1" applyBorder="1" applyAlignment="1">
      <alignment horizontal="left" vertical="top" wrapText="1"/>
    </xf>
    <xf numFmtId="0" fontId="1" fillId="0" borderId="0" xfId="0" applyFont="1"/>
    <xf numFmtId="0" fontId="4" fillId="3" borderId="0" xfId="0" applyFont="1" applyFill="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4" borderId="1" xfId="0" applyFont="1" applyFill="1" applyBorder="1" applyAlignment="1">
      <alignment horizontal="center" vertical="center" wrapText="1"/>
    </xf>
    <xf numFmtId="0" fontId="6" fillId="0" borderId="0" xfId="0" applyFont="1"/>
    <xf numFmtId="0" fontId="6" fillId="0" borderId="0" xfId="0" applyFont="1" applyAlignment="1">
      <alignment horizontal="center" vertical="center" wrapText="1"/>
    </xf>
    <xf numFmtId="0" fontId="5" fillId="0" borderId="0" xfId="0" applyFont="1" applyAlignment="1">
      <alignment horizontal="center" vertical="center" wrapText="1"/>
    </xf>
    <xf numFmtId="0" fontId="6" fillId="0" borderId="1" xfId="0" applyFont="1" applyBorder="1"/>
    <xf numFmtId="0" fontId="6" fillId="0" borderId="1" xfId="0" applyFont="1" applyBorder="1" applyAlignment="1">
      <alignment horizontal="center" vertical="center" wrapText="1"/>
    </xf>
    <xf numFmtId="0" fontId="3" fillId="0" borderId="0" xfId="0" applyFont="1"/>
    <xf numFmtId="0" fontId="0" fillId="0" borderId="0" xfId="0"/>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2"/>
  <sheetViews>
    <sheetView topLeftCell="A7" workbookViewId="0"/>
  </sheetViews>
  <sheetFormatPr defaultRowHeight="14.4" x14ac:dyDescent="0.3"/>
  <cols>
    <col min="1" max="1" width="3" customWidth="1"/>
    <col min="2" max="2" width="22" customWidth="1"/>
    <col min="3" max="3" width="12" customWidth="1"/>
    <col min="4" max="4" width="18" customWidth="1"/>
    <col min="5" max="5" width="10" customWidth="1"/>
    <col min="6" max="7" width="35" customWidth="1"/>
  </cols>
  <sheetData>
    <row r="2" spans="2:7" x14ac:dyDescent="0.3">
      <c r="B2" s="17" t="s">
        <v>0</v>
      </c>
      <c r="C2" s="16"/>
      <c r="D2" s="16"/>
      <c r="E2" s="16"/>
      <c r="F2" s="16"/>
      <c r="G2" s="16"/>
    </row>
    <row r="4" spans="2:7" x14ac:dyDescent="0.3">
      <c r="B4" s="1" t="s">
        <v>1</v>
      </c>
      <c r="C4" s="15" t="s">
        <v>2</v>
      </c>
      <c r="D4" s="16"/>
      <c r="E4" s="16"/>
      <c r="F4" s="1" t="s">
        <v>3</v>
      </c>
      <c r="G4" s="2" t="s">
        <v>4</v>
      </c>
    </row>
    <row r="5" spans="2:7" x14ac:dyDescent="0.3">
      <c r="B5" s="1" t="s">
        <v>5</v>
      </c>
      <c r="C5" s="15" t="s">
        <v>2</v>
      </c>
      <c r="D5" s="16"/>
      <c r="E5" s="16"/>
      <c r="F5" s="1" t="s">
        <v>6</v>
      </c>
      <c r="G5" s="2"/>
    </row>
    <row r="6" spans="2:7" x14ac:dyDescent="0.3">
      <c r="B6" s="1" t="s">
        <v>7</v>
      </c>
      <c r="C6" s="15" t="s">
        <v>8</v>
      </c>
      <c r="D6" s="16"/>
      <c r="E6" s="16"/>
      <c r="F6" s="1" t="s">
        <v>9</v>
      </c>
      <c r="G6" s="2"/>
    </row>
    <row r="7" spans="2:7" x14ac:dyDescent="0.3">
      <c r="F7" s="1" t="s">
        <v>10</v>
      </c>
      <c r="G7" s="2" t="s">
        <v>11</v>
      </c>
    </row>
    <row r="10" spans="2:7" x14ac:dyDescent="0.3">
      <c r="B10" s="1" t="s">
        <v>12</v>
      </c>
    </row>
    <row r="11" spans="2:7" x14ac:dyDescent="0.3">
      <c r="B11" s="3" t="s">
        <v>13</v>
      </c>
      <c r="C11" s="3" t="s">
        <v>10</v>
      </c>
      <c r="D11" s="3" t="s">
        <v>14</v>
      </c>
      <c r="E11" s="3" t="s">
        <v>15</v>
      </c>
      <c r="F11" s="3" t="s">
        <v>16</v>
      </c>
      <c r="G11" s="3" t="s">
        <v>17</v>
      </c>
    </row>
    <row r="12" spans="2:7" x14ac:dyDescent="0.3">
      <c r="B12" s="4" t="s">
        <v>18</v>
      </c>
      <c r="C12" s="4" t="s">
        <v>11</v>
      </c>
      <c r="D12" s="4" t="s">
        <v>19</v>
      </c>
      <c r="E12" s="4" t="s">
        <v>20</v>
      </c>
      <c r="F12" s="4" t="s">
        <v>21</v>
      </c>
      <c r="G12" s="4" t="s">
        <v>22</v>
      </c>
    </row>
  </sheetData>
  <mergeCells count="4">
    <mergeCell ref="C4:E4"/>
    <mergeCell ref="B2:G2"/>
    <mergeCell ref="C6:E6"/>
    <mergeCell ref="C5:E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4"/>
  <sheetViews>
    <sheetView workbookViewId="0"/>
  </sheetViews>
  <sheetFormatPr defaultRowHeight="14.4" x14ac:dyDescent="0.3"/>
  <cols>
    <col min="1" max="1" width="3" customWidth="1"/>
    <col min="2" max="2" width="8" customWidth="1"/>
    <col min="3" max="3" width="32" customWidth="1"/>
    <col min="4" max="4" width="20" customWidth="1"/>
    <col min="5" max="5" width="50" customWidth="1"/>
    <col min="6" max="6" width="35" customWidth="1"/>
  </cols>
  <sheetData>
    <row r="1" spans="2:6" ht="21" x14ac:dyDescent="0.4">
      <c r="D1" s="5" t="s">
        <v>23</v>
      </c>
    </row>
    <row r="3" spans="2:6" x14ac:dyDescent="0.3">
      <c r="B3" s="1" t="s">
        <v>1</v>
      </c>
      <c r="D3" s="15" t="str">
        <f>Cover!C4</f>
        <v>DOLIBARR</v>
      </c>
      <c r="E3" s="16"/>
      <c r="F3" s="16"/>
    </row>
    <row r="4" spans="2:6" x14ac:dyDescent="0.3">
      <c r="B4" s="1" t="s">
        <v>5</v>
      </c>
      <c r="D4" s="15" t="str">
        <f>Cover!C5</f>
        <v>DOLIBARR</v>
      </c>
      <c r="E4" s="16"/>
      <c r="F4" s="16"/>
    </row>
    <row r="5" spans="2:6" x14ac:dyDescent="0.3">
      <c r="B5" s="1" t="s">
        <v>24</v>
      </c>
      <c r="D5" s="15" t="s">
        <v>25</v>
      </c>
      <c r="E5" s="16"/>
      <c r="F5" s="16"/>
    </row>
    <row r="8" spans="2:6" x14ac:dyDescent="0.3">
      <c r="B8" s="6" t="s">
        <v>26</v>
      </c>
      <c r="C8" s="6" t="s">
        <v>27</v>
      </c>
      <c r="D8" s="6" t="s">
        <v>28</v>
      </c>
      <c r="E8" s="6" t="s">
        <v>29</v>
      </c>
      <c r="F8" s="6" t="s">
        <v>30</v>
      </c>
    </row>
    <row r="9" spans="2:6" ht="26.4" x14ac:dyDescent="0.3">
      <c r="B9" s="7">
        <v>1</v>
      </c>
      <c r="C9" s="8" t="s">
        <v>31</v>
      </c>
      <c r="D9" s="8" t="s">
        <v>32</v>
      </c>
      <c r="E9" s="8" t="s">
        <v>33</v>
      </c>
      <c r="F9" s="8" t="s">
        <v>34</v>
      </c>
    </row>
    <row r="10" spans="2:6" ht="26.4" x14ac:dyDescent="0.3">
      <c r="B10" s="7">
        <v>2</v>
      </c>
      <c r="C10" s="8" t="s">
        <v>35</v>
      </c>
      <c r="D10" s="8" t="s">
        <v>36</v>
      </c>
      <c r="E10" s="8" t="s">
        <v>37</v>
      </c>
      <c r="F10" s="8" t="s">
        <v>38</v>
      </c>
    </row>
    <row r="11" spans="2:6" ht="26.4" x14ac:dyDescent="0.3">
      <c r="B11" s="7">
        <v>3</v>
      </c>
      <c r="C11" s="8" t="s">
        <v>39</v>
      </c>
      <c r="D11" s="8" t="s">
        <v>40</v>
      </c>
      <c r="E11" s="8" t="s">
        <v>41</v>
      </c>
      <c r="F11" s="8" t="s">
        <v>42</v>
      </c>
    </row>
    <row r="12" spans="2:6" ht="26.4" x14ac:dyDescent="0.3">
      <c r="B12" s="7">
        <v>4</v>
      </c>
      <c r="C12" s="8" t="s">
        <v>43</v>
      </c>
      <c r="D12" s="8" t="s">
        <v>44</v>
      </c>
      <c r="E12" s="8" t="s">
        <v>45</v>
      </c>
      <c r="F12" s="8" t="s">
        <v>46</v>
      </c>
    </row>
    <row r="13" spans="2:6" ht="26.4" x14ac:dyDescent="0.3">
      <c r="B13" s="7">
        <v>5</v>
      </c>
      <c r="C13" s="8" t="s">
        <v>47</v>
      </c>
      <c r="D13" s="8" t="s">
        <v>48</v>
      </c>
      <c r="E13" s="8" t="s">
        <v>49</v>
      </c>
      <c r="F13" s="8" t="s">
        <v>50</v>
      </c>
    </row>
    <row r="14" spans="2:6" ht="26.4" x14ac:dyDescent="0.3">
      <c r="B14" s="7">
        <v>6</v>
      </c>
      <c r="C14" s="8" t="s">
        <v>51</v>
      </c>
      <c r="D14" s="8" t="s">
        <v>52</v>
      </c>
      <c r="E14" s="8" t="s">
        <v>53</v>
      </c>
      <c r="F14" s="8" t="s">
        <v>54</v>
      </c>
    </row>
  </sheetData>
  <mergeCells count="3">
    <mergeCell ref="D3:F3"/>
    <mergeCell ref="D4:F4"/>
    <mergeCell ref="D5:F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
  <sheetViews>
    <sheetView topLeftCell="A10" workbookViewId="0"/>
  </sheetViews>
  <sheetFormatPr defaultRowHeight="14.4" x14ac:dyDescent="0.3"/>
  <cols>
    <col min="1" max="1" width="25" customWidth="1"/>
    <col min="2" max="2" width="22" customWidth="1"/>
    <col min="3" max="3" width="32" customWidth="1"/>
    <col min="4" max="4" width="60" customWidth="1"/>
    <col min="5" max="5" width="12" customWidth="1"/>
    <col min="6" max="6" width="30" customWidth="1"/>
  </cols>
  <sheetData>
    <row r="1" spans="1:6" x14ac:dyDescent="0.3">
      <c r="A1" s="9" t="s">
        <v>55</v>
      </c>
      <c r="B1" s="9" t="s">
        <v>56</v>
      </c>
      <c r="C1" s="9" t="s">
        <v>57</v>
      </c>
      <c r="D1" s="9" t="s">
        <v>58</v>
      </c>
      <c r="E1" s="9" t="s">
        <v>59</v>
      </c>
      <c r="F1" s="9" t="s">
        <v>60</v>
      </c>
    </row>
    <row r="2" spans="1:6" ht="26.4" x14ac:dyDescent="0.3">
      <c r="A2" s="4" t="s">
        <v>61</v>
      </c>
      <c r="B2" s="4" t="s">
        <v>62</v>
      </c>
      <c r="C2" s="4" t="s">
        <v>63</v>
      </c>
      <c r="D2" s="4" t="s">
        <v>64</v>
      </c>
      <c r="E2" s="4" t="s">
        <v>65</v>
      </c>
      <c r="F2" s="4" t="s">
        <v>66</v>
      </c>
    </row>
    <row r="3" spans="1:6" ht="26.4" x14ac:dyDescent="0.3">
      <c r="A3" s="4"/>
      <c r="B3" s="4"/>
      <c r="C3" s="4" t="s">
        <v>67</v>
      </c>
      <c r="D3" s="4" t="s">
        <v>68</v>
      </c>
      <c r="E3" s="4" t="s">
        <v>69</v>
      </c>
      <c r="F3" s="4" t="s">
        <v>66</v>
      </c>
    </row>
    <row r="4" spans="1:6" ht="26.4" x14ac:dyDescent="0.3">
      <c r="A4" s="4"/>
      <c r="B4" s="4"/>
      <c r="C4" s="4" t="s">
        <v>70</v>
      </c>
      <c r="D4" s="4" t="s">
        <v>71</v>
      </c>
      <c r="E4" s="4" t="s">
        <v>69</v>
      </c>
      <c r="F4" s="4" t="s">
        <v>72</v>
      </c>
    </row>
    <row r="5" spans="1:6" x14ac:dyDescent="0.3">
      <c r="A5" s="4"/>
      <c r="B5" s="4"/>
      <c r="C5" s="4" t="s">
        <v>73</v>
      </c>
      <c r="D5" s="4" t="s">
        <v>74</v>
      </c>
      <c r="E5" s="4" t="s">
        <v>69</v>
      </c>
      <c r="F5" s="4" t="s">
        <v>75</v>
      </c>
    </row>
    <row r="6" spans="1:6" x14ac:dyDescent="0.3">
      <c r="A6" s="4"/>
      <c r="B6" s="4"/>
      <c r="C6" s="4" t="s">
        <v>76</v>
      </c>
      <c r="D6" s="4" t="s">
        <v>77</v>
      </c>
      <c r="E6" s="4" t="s">
        <v>69</v>
      </c>
      <c r="F6" s="4" t="s">
        <v>78</v>
      </c>
    </row>
    <row r="7" spans="1:6" x14ac:dyDescent="0.3">
      <c r="A7" s="4"/>
      <c r="B7" s="4"/>
      <c r="C7" s="4" t="s">
        <v>79</v>
      </c>
      <c r="D7" s="4" t="s">
        <v>80</v>
      </c>
      <c r="E7" s="4" t="s">
        <v>69</v>
      </c>
      <c r="F7" s="4" t="s">
        <v>81</v>
      </c>
    </row>
    <row r="8" spans="1:6" ht="26.4" x14ac:dyDescent="0.3">
      <c r="A8" s="4"/>
      <c r="B8" s="4"/>
      <c r="C8" s="4" t="s">
        <v>82</v>
      </c>
      <c r="D8" s="4" t="s">
        <v>83</v>
      </c>
      <c r="E8" s="4" t="s">
        <v>69</v>
      </c>
      <c r="F8" s="4" t="s">
        <v>84</v>
      </c>
    </row>
    <row r="9" spans="1:6" ht="26.4" x14ac:dyDescent="0.3">
      <c r="A9" s="4"/>
      <c r="B9" s="4"/>
      <c r="C9" s="4" t="s">
        <v>85</v>
      </c>
      <c r="D9" s="4" t="s">
        <v>86</v>
      </c>
      <c r="E9" s="4" t="s">
        <v>69</v>
      </c>
      <c r="F9" s="4" t="s">
        <v>87</v>
      </c>
    </row>
    <row r="10" spans="1:6" x14ac:dyDescent="0.3">
      <c r="A10" s="4"/>
      <c r="B10" s="4" t="s">
        <v>88</v>
      </c>
      <c r="C10" s="4" t="s">
        <v>89</v>
      </c>
      <c r="D10" s="4" t="s">
        <v>90</v>
      </c>
      <c r="E10" s="4" t="s">
        <v>69</v>
      </c>
      <c r="F10" s="4" t="s">
        <v>91</v>
      </c>
    </row>
    <row r="11" spans="1:6" ht="26.4" x14ac:dyDescent="0.3">
      <c r="A11" s="4"/>
      <c r="B11" s="4"/>
      <c r="C11" s="4" t="s">
        <v>92</v>
      </c>
      <c r="D11" s="4" t="s">
        <v>93</v>
      </c>
      <c r="E11" s="4" t="s">
        <v>69</v>
      </c>
      <c r="F11" s="4" t="s">
        <v>94</v>
      </c>
    </row>
    <row r="12" spans="1:6" x14ac:dyDescent="0.3">
      <c r="A12" s="4"/>
      <c r="B12" s="4"/>
      <c r="C12" s="4" t="s">
        <v>95</v>
      </c>
      <c r="D12" s="4" t="s">
        <v>96</v>
      </c>
      <c r="E12" s="4" t="s">
        <v>69</v>
      </c>
      <c r="F12" s="4" t="s">
        <v>97</v>
      </c>
    </row>
    <row r="13" spans="1:6" x14ac:dyDescent="0.3">
      <c r="A13" s="4"/>
      <c r="B13" s="4"/>
      <c r="C13" s="4" t="s">
        <v>98</v>
      </c>
      <c r="D13" s="4" t="s">
        <v>99</v>
      </c>
      <c r="E13" s="4" t="s">
        <v>69</v>
      </c>
      <c r="F13" s="4" t="s">
        <v>100</v>
      </c>
    </row>
    <row r="14" spans="1:6" x14ac:dyDescent="0.3">
      <c r="A14" s="4"/>
      <c r="B14" s="4" t="s">
        <v>101</v>
      </c>
      <c r="C14" s="4" t="s">
        <v>102</v>
      </c>
      <c r="D14" s="4" t="s">
        <v>103</v>
      </c>
      <c r="E14" s="4" t="s">
        <v>65</v>
      </c>
      <c r="F14" s="4" t="s">
        <v>104</v>
      </c>
    </row>
    <row r="15" spans="1:6" ht="26.4" x14ac:dyDescent="0.3">
      <c r="A15" s="4"/>
      <c r="B15" s="4"/>
      <c r="C15" s="4" t="s">
        <v>67</v>
      </c>
      <c r="D15" s="4" t="s">
        <v>105</v>
      </c>
      <c r="E15" s="4" t="s">
        <v>69</v>
      </c>
      <c r="F15" s="4" t="s">
        <v>104</v>
      </c>
    </row>
    <row r="16" spans="1:6" ht="26.4" x14ac:dyDescent="0.3">
      <c r="A16" s="4"/>
      <c r="B16" s="4"/>
      <c r="C16" s="4" t="s">
        <v>106</v>
      </c>
      <c r="D16" s="4" t="s">
        <v>107</v>
      </c>
      <c r="E16" s="4" t="s">
        <v>69</v>
      </c>
      <c r="F16" s="4" t="s">
        <v>108</v>
      </c>
    </row>
    <row r="17" spans="1:6" x14ac:dyDescent="0.3">
      <c r="A17" s="4"/>
      <c r="B17" s="4"/>
      <c r="C17" s="4" t="s">
        <v>109</v>
      </c>
      <c r="D17" s="4" t="s">
        <v>110</v>
      </c>
      <c r="E17" s="4" t="s">
        <v>69</v>
      </c>
      <c r="F17" s="4" t="s">
        <v>111</v>
      </c>
    </row>
    <row r="18" spans="1:6" x14ac:dyDescent="0.3">
      <c r="A18" s="4"/>
      <c r="B18" s="4"/>
      <c r="C18" s="4" t="s">
        <v>112</v>
      </c>
      <c r="D18" s="4" t="s">
        <v>113</v>
      </c>
      <c r="E18" s="4" t="s">
        <v>69</v>
      </c>
      <c r="F18" s="4" t="s">
        <v>114</v>
      </c>
    </row>
    <row r="19" spans="1:6" ht="26.4" x14ac:dyDescent="0.3">
      <c r="A19" s="4"/>
      <c r="B19" s="4" t="s">
        <v>115</v>
      </c>
      <c r="C19" s="4" t="s">
        <v>116</v>
      </c>
      <c r="D19" s="4" t="s">
        <v>117</v>
      </c>
      <c r="E19" s="4" t="s">
        <v>69</v>
      </c>
      <c r="F19" s="4" t="s">
        <v>118</v>
      </c>
    </row>
    <row r="20" spans="1:6" x14ac:dyDescent="0.3">
      <c r="A20" s="4"/>
      <c r="B20" s="4"/>
      <c r="C20" s="4" t="s">
        <v>119</v>
      </c>
      <c r="D20" s="4" t="s">
        <v>120</v>
      </c>
      <c r="E20" s="4" t="s">
        <v>69</v>
      </c>
      <c r="F20" s="4" t="s">
        <v>121</v>
      </c>
    </row>
    <row r="21" spans="1:6" ht="26.4" x14ac:dyDescent="0.3">
      <c r="A21" s="4"/>
      <c r="B21" s="4"/>
      <c r="C21" s="4" t="s">
        <v>122</v>
      </c>
      <c r="D21" s="4" t="s">
        <v>123</v>
      </c>
      <c r="E21" s="4" t="s">
        <v>69</v>
      </c>
      <c r="F21" s="4" t="s">
        <v>124</v>
      </c>
    </row>
    <row r="22" spans="1:6" ht="26.4" x14ac:dyDescent="0.3">
      <c r="A22" s="4"/>
      <c r="B22" s="4"/>
      <c r="C22" s="4" t="s">
        <v>125</v>
      </c>
      <c r="D22" s="4" t="s">
        <v>126</v>
      </c>
      <c r="E22" s="4" t="s">
        <v>69</v>
      </c>
      <c r="F22" s="4" t="s">
        <v>127</v>
      </c>
    </row>
    <row r="23" spans="1:6" x14ac:dyDescent="0.3">
      <c r="A23" s="4"/>
      <c r="B23" s="4"/>
      <c r="C23" s="4" t="s">
        <v>128</v>
      </c>
      <c r="D23" s="4" t="s">
        <v>129</v>
      </c>
      <c r="E23" s="4" t="s">
        <v>69</v>
      </c>
      <c r="F23" s="4" t="s">
        <v>130</v>
      </c>
    </row>
    <row r="24" spans="1:6" ht="26.4" x14ac:dyDescent="0.3">
      <c r="A24" s="4"/>
      <c r="B24" s="4" t="s">
        <v>131</v>
      </c>
      <c r="C24" s="4" t="s">
        <v>132</v>
      </c>
      <c r="D24" s="4" t="s">
        <v>133</v>
      </c>
      <c r="E24" s="4" t="s">
        <v>69</v>
      </c>
      <c r="F24" s="4" t="s">
        <v>134</v>
      </c>
    </row>
    <row r="25" spans="1:6" ht="26.4" x14ac:dyDescent="0.3">
      <c r="A25" s="4"/>
      <c r="B25" s="4"/>
      <c r="C25" s="4" t="s">
        <v>135</v>
      </c>
      <c r="D25" s="4" t="s">
        <v>136</v>
      </c>
      <c r="E25" s="4" t="s">
        <v>69</v>
      </c>
      <c r="F25" s="4" t="s">
        <v>137</v>
      </c>
    </row>
    <row r="26" spans="1:6" ht="26.4" x14ac:dyDescent="0.3">
      <c r="A26" s="4"/>
      <c r="B26" s="4" t="s">
        <v>138</v>
      </c>
      <c r="C26" s="4" t="s">
        <v>139</v>
      </c>
      <c r="D26" s="4" t="s">
        <v>140</v>
      </c>
      <c r="E26" s="4" t="s">
        <v>69</v>
      </c>
      <c r="F26" s="4" t="s">
        <v>141</v>
      </c>
    </row>
    <row r="27" spans="1:6" x14ac:dyDescent="0.3">
      <c r="A27" s="4"/>
      <c r="B27" s="4"/>
      <c r="C27" s="4" t="s">
        <v>142</v>
      </c>
      <c r="D27" s="4" t="s">
        <v>143</v>
      </c>
      <c r="E27" s="4" t="s">
        <v>69</v>
      </c>
      <c r="F27" s="4" t="s">
        <v>144</v>
      </c>
    </row>
    <row r="28" spans="1:6" x14ac:dyDescent="0.3">
      <c r="A28" s="4"/>
      <c r="B28" s="4"/>
      <c r="C28" s="4" t="s">
        <v>145</v>
      </c>
      <c r="D28" s="4" t="s">
        <v>146</v>
      </c>
      <c r="E28" s="4" t="s">
        <v>69</v>
      </c>
      <c r="F28" s="4" t="s">
        <v>147</v>
      </c>
    </row>
    <row r="29" spans="1:6" ht="26.4" x14ac:dyDescent="0.3">
      <c r="A29" s="4"/>
      <c r="B29" s="4"/>
      <c r="C29" s="4" t="s">
        <v>148</v>
      </c>
      <c r="D29" s="4" t="s">
        <v>149</v>
      </c>
      <c r="E29" s="4" t="s">
        <v>69</v>
      </c>
      <c r="F29" s="4" t="s">
        <v>150</v>
      </c>
    </row>
    <row r="30" spans="1:6" ht="26.4" x14ac:dyDescent="0.3">
      <c r="A30" s="4"/>
      <c r="B30" s="4"/>
      <c r="C30" s="4" t="s">
        <v>151</v>
      </c>
      <c r="D30" s="4" t="s">
        <v>152</v>
      </c>
      <c r="E30" s="4" t="s">
        <v>69</v>
      </c>
      <c r="F30" s="4" t="s">
        <v>153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H15"/>
  <sheetViews>
    <sheetView workbookViewId="0"/>
  </sheetViews>
  <sheetFormatPr defaultRowHeight="14.4" x14ac:dyDescent="0.3"/>
  <cols>
    <col min="1" max="1" width="25" customWidth="1"/>
    <col min="2" max="2" width="30" customWidth="1"/>
    <col min="3" max="4" width="45" customWidth="1"/>
    <col min="5" max="5" width="20" customWidth="1"/>
    <col min="6" max="7" width="12" customWidth="1"/>
    <col min="8" max="8" width="20" customWidth="1"/>
  </cols>
  <sheetData>
    <row r="2" spans="1:8" x14ac:dyDescent="0.3">
      <c r="A2" s="10" t="s">
        <v>154</v>
      </c>
      <c r="B2" s="2" t="s">
        <v>32</v>
      </c>
    </row>
    <row r="3" spans="1:8" x14ac:dyDescent="0.3">
      <c r="A3" s="10" t="s">
        <v>155</v>
      </c>
      <c r="B3" s="2" t="s">
        <v>31</v>
      </c>
    </row>
    <row r="4" spans="1:8" x14ac:dyDescent="0.3">
      <c r="A4" s="10" t="s">
        <v>156</v>
      </c>
      <c r="B4" s="2" t="s">
        <v>4</v>
      </c>
    </row>
    <row r="5" spans="1:8" ht="26.4" x14ac:dyDescent="0.3">
      <c r="A5" s="11" t="s">
        <v>157</v>
      </c>
      <c r="B5" s="11" t="s">
        <v>158</v>
      </c>
      <c r="C5" s="11" t="s">
        <v>159</v>
      </c>
      <c r="D5" s="11" t="s">
        <v>160</v>
      </c>
      <c r="E5" s="11" t="s">
        <v>161</v>
      </c>
      <c r="F5" s="11" t="s">
        <v>162</v>
      </c>
    </row>
    <row r="6" spans="1:8" x14ac:dyDescent="0.3">
      <c r="A6" s="12">
        <f>COUNTIF(F9:F25,"Passed")</f>
        <v>0</v>
      </c>
      <c r="B6" s="12">
        <f>COUNTIF(F9:F25,"Failed")</f>
        <v>0</v>
      </c>
      <c r="C6" s="12">
        <f>F6-E6-D6-B6-A6</f>
        <v>7</v>
      </c>
      <c r="D6" s="12">
        <f>COUNTIF(F9:F25,"Blocked")</f>
        <v>0</v>
      </c>
      <c r="E6" s="12">
        <f>COUNTIF(F9:F25,"Skipped")</f>
        <v>0</v>
      </c>
      <c r="F6" s="12">
        <f>COUNTA(A9:A15)</f>
        <v>7</v>
      </c>
    </row>
    <row r="8" spans="1:8" ht="27.6" x14ac:dyDescent="0.3">
      <c r="A8" s="3" t="s">
        <v>163</v>
      </c>
      <c r="B8" s="3" t="s">
        <v>164</v>
      </c>
      <c r="C8" s="3" t="s">
        <v>165</v>
      </c>
      <c r="D8" s="3" t="s">
        <v>166</v>
      </c>
      <c r="E8" s="3" t="s">
        <v>167</v>
      </c>
      <c r="F8" s="3" t="s">
        <v>168</v>
      </c>
      <c r="G8" s="3" t="s">
        <v>169</v>
      </c>
      <c r="H8" s="3" t="s">
        <v>60</v>
      </c>
    </row>
    <row r="9" spans="1:8" ht="92.4" x14ac:dyDescent="0.3">
      <c r="A9" s="4" t="s">
        <v>66</v>
      </c>
      <c r="B9" s="4" t="s">
        <v>170</v>
      </c>
      <c r="C9" s="4" t="s">
        <v>171</v>
      </c>
      <c r="D9" s="4" t="s">
        <v>172</v>
      </c>
      <c r="E9" s="4"/>
      <c r="F9" s="7" t="s">
        <v>159</v>
      </c>
      <c r="G9" s="7"/>
      <c r="H9" s="4"/>
    </row>
    <row r="10" spans="1:8" ht="79.2" x14ac:dyDescent="0.3">
      <c r="A10" s="4" t="s">
        <v>72</v>
      </c>
      <c r="B10" s="4" t="s">
        <v>173</v>
      </c>
      <c r="C10" s="4" t="s">
        <v>174</v>
      </c>
      <c r="D10" s="4" t="s">
        <v>175</v>
      </c>
      <c r="E10" s="4"/>
      <c r="F10" s="7" t="s">
        <v>159</v>
      </c>
      <c r="G10" s="7"/>
      <c r="H10" s="4"/>
    </row>
    <row r="11" spans="1:8" ht="66" x14ac:dyDescent="0.3">
      <c r="A11" s="4" t="s">
        <v>75</v>
      </c>
      <c r="B11" s="4" t="s">
        <v>176</v>
      </c>
      <c r="C11" s="4" t="s">
        <v>177</v>
      </c>
      <c r="D11" s="4" t="s">
        <v>178</v>
      </c>
      <c r="E11" s="4"/>
      <c r="F11" s="7" t="s">
        <v>159</v>
      </c>
      <c r="G11" s="7"/>
      <c r="H11" s="4"/>
    </row>
    <row r="12" spans="1:8" ht="66" x14ac:dyDescent="0.3">
      <c r="A12" s="4" t="s">
        <v>78</v>
      </c>
      <c r="B12" s="4" t="s">
        <v>179</v>
      </c>
      <c r="C12" s="4" t="s">
        <v>180</v>
      </c>
      <c r="D12" s="4" t="s">
        <v>181</v>
      </c>
      <c r="E12" s="4"/>
      <c r="F12" s="7" t="s">
        <v>159</v>
      </c>
      <c r="G12" s="7"/>
      <c r="H12" s="4"/>
    </row>
    <row r="13" spans="1:8" ht="66" x14ac:dyDescent="0.3">
      <c r="A13" s="4" t="s">
        <v>81</v>
      </c>
      <c r="B13" s="4" t="s">
        <v>182</v>
      </c>
      <c r="C13" s="4" t="s">
        <v>183</v>
      </c>
      <c r="D13" s="4" t="s">
        <v>184</v>
      </c>
      <c r="E13" s="4"/>
      <c r="F13" s="7" t="s">
        <v>159</v>
      </c>
      <c r="G13" s="7"/>
      <c r="H13" s="4"/>
    </row>
    <row r="14" spans="1:8" ht="92.4" x14ac:dyDescent="0.3">
      <c r="A14" s="4" t="s">
        <v>84</v>
      </c>
      <c r="B14" s="4" t="s">
        <v>185</v>
      </c>
      <c r="C14" s="4" t="s">
        <v>186</v>
      </c>
      <c r="D14" s="4" t="s">
        <v>187</v>
      </c>
      <c r="E14" s="4"/>
      <c r="F14" s="7" t="s">
        <v>159</v>
      </c>
      <c r="G14" s="7"/>
      <c r="H14" s="4"/>
    </row>
    <row r="15" spans="1:8" ht="118.8" x14ac:dyDescent="0.3">
      <c r="A15" s="4" t="s">
        <v>87</v>
      </c>
      <c r="B15" s="4" t="s">
        <v>188</v>
      </c>
      <c r="C15" s="4" t="s">
        <v>189</v>
      </c>
      <c r="D15" s="4" t="s">
        <v>190</v>
      </c>
      <c r="E15" s="4"/>
      <c r="F15" s="7" t="s">
        <v>159</v>
      </c>
      <c r="G15" s="7"/>
      <c r="H15"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H12"/>
  <sheetViews>
    <sheetView workbookViewId="0"/>
  </sheetViews>
  <sheetFormatPr defaultRowHeight="14.4" x14ac:dyDescent="0.3"/>
  <cols>
    <col min="1" max="1" width="25" customWidth="1"/>
    <col min="2" max="2" width="30" customWidth="1"/>
    <col min="3" max="4" width="45" customWidth="1"/>
    <col min="5" max="5" width="20" customWidth="1"/>
    <col min="6" max="7" width="12" customWidth="1"/>
    <col min="8" max="8" width="20" customWidth="1"/>
  </cols>
  <sheetData>
    <row r="2" spans="1:8" x14ac:dyDescent="0.3">
      <c r="A2" s="10" t="s">
        <v>154</v>
      </c>
      <c r="B2" s="2" t="s">
        <v>36</v>
      </c>
    </row>
    <row r="3" spans="1:8" x14ac:dyDescent="0.3">
      <c r="A3" s="10" t="s">
        <v>155</v>
      </c>
      <c r="B3" s="2" t="s">
        <v>35</v>
      </c>
    </row>
    <row r="4" spans="1:8" x14ac:dyDescent="0.3">
      <c r="A4" s="10" t="s">
        <v>156</v>
      </c>
      <c r="B4" s="2" t="s">
        <v>4</v>
      </c>
    </row>
    <row r="5" spans="1:8" ht="26.4" x14ac:dyDescent="0.3">
      <c r="A5" s="11" t="s">
        <v>157</v>
      </c>
      <c r="B5" s="11" t="s">
        <v>158</v>
      </c>
      <c r="C5" s="11" t="s">
        <v>159</v>
      </c>
      <c r="D5" s="11" t="s">
        <v>160</v>
      </c>
      <c r="E5" s="11" t="s">
        <v>161</v>
      </c>
      <c r="F5" s="11" t="s">
        <v>162</v>
      </c>
    </row>
    <row r="6" spans="1:8" x14ac:dyDescent="0.3">
      <c r="A6" s="12">
        <f>COUNTIF(F9:F22,"Passed")</f>
        <v>0</v>
      </c>
      <c r="B6" s="12">
        <f>COUNTIF(F9:F22,"Failed")</f>
        <v>0</v>
      </c>
      <c r="C6" s="12">
        <f>F6-E6-D6-B6-A6</f>
        <v>4</v>
      </c>
      <c r="D6" s="12">
        <f>COUNTIF(F9:F22,"Blocked")</f>
        <v>0</v>
      </c>
      <c r="E6" s="12">
        <f>COUNTIF(F9:F22,"Skipped")</f>
        <v>0</v>
      </c>
      <c r="F6" s="12">
        <f>COUNTA(A9:A12)</f>
        <v>4</v>
      </c>
    </row>
    <row r="8" spans="1:8" ht="27.6" x14ac:dyDescent="0.3">
      <c r="A8" s="3" t="s">
        <v>163</v>
      </c>
      <c r="B8" s="3" t="s">
        <v>164</v>
      </c>
      <c r="C8" s="3" t="s">
        <v>165</v>
      </c>
      <c r="D8" s="3" t="s">
        <v>166</v>
      </c>
      <c r="E8" s="3" t="s">
        <v>167</v>
      </c>
      <c r="F8" s="3" t="s">
        <v>168</v>
      </c>
      <c r="G8" s="3" t="s">
        <v>169</v>
      </c>
      <c r="H8" s="3" t="s">
        <v>60</v>
      </c>
    </row>
    <row r="9" spans="1:8" ht="66" x14ac:dyDescent="0.3">
      <c r="A9" s="4" t="s">
        <v>91</v>
      </c>
      <c r="B9" s="4" t="s">
        <v>191</v>
      </c>
      <c r="C9" s="4" t="s">
        <v>192</v>
      </c>
      <c r="D9" s="4" t="s">
        <v>193</v>
      </c>
      <c r="E9" s="4"/>
      <c r="F9" s="7" t="s">
        <v>159</v>
      </c>
      <c r="G9" s="7"/>
      <c r="H9" s="4"/>
    </row>
    <row r="10" spans="1:8" ht="79.2" x14ac:dyDescent="0.3">
      <c r="A10" s="4" t="s">
        <v>94</v>
      </c>
      <c r="B10" s="4" t="s">
        <v>194</v>
      </c>
      <c r="C10" s="4" t="s">
        <v>195</v>
      </c>
      <c r="D10" s="4" t="s">
        <v>196</v>
      </c>
      <c r="E10" s="4"/>
      <c r="F10" s="7" t="s">
        <v>159</v>
      </c>
      <c r="G10" s="7"/>
      <c r="H10" s="4"/>
    </row>
    <row r="11" spans="1:8" ht="66" x14ac:dyDescent="0.3">
      <c r="A11" s="4" t="s">
        <v>97</v>
      </c>
      <c r="B11" s="4" t="s">
        <v>197</v>
      </c>
      <c r="C11" s="4" t="s">
        <v>198</v>
      </c>
      <c r="D11" s="4" t="s">
        <v>199</v>
      </c>
      <c r="E11" s="4"/>
      <c r="F11" s="7" t="s">
        <v>159</v>
      </c>
      <c r="G11" s="7"/>
      <c r="H11" s="4"/>
    </row>
    <row r="12" spans="1:8" ht="79.2" x14ac:dyDescent="0.3">
      <c r="A12" s="4" t="s">
        <v>100</v>
      </c>
      <c r="B12" s="4" t="s">
        <v>200</v>
      </c>
      <c r="C12" s="4" t="s">
        <v>201</v>
      </c>
      <c r="D12" s="4" t="s">
        <v>202</v>
      </c>
      <c r="E12" s="4"/>
      <c r="F12" s="7" t="s">
        <v>159</v>
      </c>
      <c r="G12" s="7"/>
      <c r="H12"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H12"/>
  <sheetViews>
    <sheetView topLeftCell="A10" workbookViewId="0"/>
  </sheetViews>
  <sheetFormatPr defaultRowHeight="14.4" x14ac:dyDescent="0.3"/>
  <cols>
    <col min="1" max="1" width="25" customWidth="1"/>
    <col min="2" max="2" width="30" customWidth="1"/>
    <col min="3" max="4" width="45" customWidth="1"/>
    <col min="5" max="5" width="20" customWidth="1"/>
    <col min="6" max="7" width="12" customWidth="1"/>
    <col min="8" max="8" width="20" customWidth="1"/>
  </cols>
  <sheetData>
    <row r="2" spans="1:8" x14ac:dyDescent="0.3">
      <c r="A2" s="10" t="s">
        <v>154</v>
      </c>
      <c r="B2" s="2" t="s">
        <v>40</v>
      </c>
    </row>
    <row r="3" spans="1:8" x14ac:dyDescent="0.3">
      <c r="A3" s="10" t="s">
        <v>155</v>
      </c>
      <c r="B3" s="2" t="s">
        <v>39</v>
      </c>
    </row>
    <row r="4" spans="1:8" x14ac:dyDescent="0.3">
      <c r="A4" s="10" t="s">
        <v>156</v>
      </c>
      <c r="B4" s="2" t="s">
        <v>4</v>
      </c>
    </row>
    <row r="5" spans="1:8" ht="26.4" x14ac:dyDescent="0.3">
      <c r="A5" s="11" t="s">
        <v>157</v>
      </c>
      <c r="B5" s="11" t="s">
        <v>158</v>
      </c>
      <c r="C5" s="11" t="s">
        <v>159</v>
      </c>
      <c r="D5" s="11" t="s">
        <v>160</v>
      </c>
      <c r="E5" s="11" t="s">
        <v>161</v>
      </c>
      <c r="F5" s="11" t="s">
        <v>162</v>
      </c>
    </row>
    <row r="6" spans="1:8" x14ac:dyDescent="0.3">
      <c r="A6" s="12">
        <f>COUNTIF(F9:F22,"Passed")</f>
        <v>0</v>
      </c>
      <c r="B6" s="12">
        <f>COUNTIF(F9:F22,"Failed")</f>
        <v>0</v>
      </c>
      <c r="C6" s="12">
        <f>F6-E6-D6-B6-A6</f>
        <v>4</v>
      </c>
      <c r="D6" s="12">
        <f>COUNTIF(F9:F22,"Blocked")</f>
        <v>0</v>
      </c>
      <c r="E6" s="12">
        <f>COUNTIF(F9:F22,"Skipped")</f>
        <v>0</v>
      </c>
      <c r="F6" s="12">
        <f>COUNTA(A9:A12)</f>
        <v>4</v>
      </c>
    </row>
    <row r="8" spans="1:8" ht="27.6" x14ac:dyDescent="0.3">
      <c r="A8" s="3" t="s">
        <v>163</v>
      </c>
      <c r="B8" s="3" t="s">
        <v>164</v>
      </c>
      <c r="C8" s="3" t="s">
        <v>165</v>
      </c>
      <c r="D8" s="3" t="s">
        <v>166</v>
      </c>
      <c r="E8" s="3" t="s">
        <v>167</v>
      </c>
      <c r="F8" s="3" t="s">
        <v>168</v>
      </c>
      <c r="G8" s="3" t="s">
        <v>169</v>
      </c>
      <c r="H8" s="3" t="s">
        <v>60</v>
      </c>
    </row>
    <row r="9" spans="1:8" ht="79.2" x14ac:dyDescent="0.3">
      <c r="A9" s="4" t="s">
        <v>104</v>
      </c>
      <c r="B9" s="4" t="s">
        <v>203</v>
      </c>
      <c r="C9" s="4" t="s">
        <v>204</v>
      </c>
      <c r="D9" s="4" t="s">
        <v>205</v>
      </c>
      <c r="E9" s="4"/>
      <c r="F9" s="7" t="s">
        <v>159</v>
      </c>
      <c r="G9" s="7"/>
      <c r="H9" s="4"/>
    </row>
    <row r="10" spans="1:8" ht="105.6" x14ac:dyDescent="0.3">
      <c r="A10" s="4" t="s">
        <v>108</v>
      </c>
      <c r="B10" s="4" t="s">
        <v>206</v>
      </c>
      <c r="C10" s="4" t="s">
        <v>207</v>
      </c>
      <c r="D10" s="4" t="s">
        <v>208</v>
      </c>
      <c r="E10" s="4"/>
      <c r="F10" s="7" t="s">
        <v>159</v>
      </c>
      <c r="G10" s="7"/>
      <c r="H10" s="4"/>
    </row>
    <row r="11" spans="1:8" ht="79.2" x14ac:dyDescent="0.3">
      <c r="A11" s="4" t="s">
        <v>111</v>
      </c>
      <c r="B11" s="4" t="s">
        <v>209</v>
      </c>
      <c r="C11" s="4" t="s">
        <v>210</v>
      </c>
      <c r="D11" s="4" t="s">
        <v>211</v>
      </c>
      <c r="E11" s="4"/>
      <c r="F11" s="7" t="s">
        <v>159</v>
      </c>
      <c r="G11" s="7"/>
      <c r="H11" s="4"/>
    </row>
    <row r="12" spans="1:8" ht="92.4" x14ac:dyDescent="0.3">
      <c r="A12" s="4" t="s">
        <v>114</v>
      </c>
      <c r="B12" s="4" t="s">
        <v>212</v>
      </c>
      <c r="C12" s="4" t="s">
        <v>213</v>
      </c>
      <c r="D12" s="4" t="s">
        <v>214</v>
      </c>
      <c r="E12" s="4"/>
      <c r="F12" s="7" t="s">
        <v>159</v>
      </c>
      <c r="G12" s="7"/>
      <c r="H12"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13"/>
  <sheetViews>
    <sheetView tabSelected="1" workbookViewId="0"/>
  </sheetViews>
  <sheetFormatPr defaultRowHeight="14.4" x14ac:dyDescent="0.3"/>
  <cols>
    <col min="1" max="1" width="25" customWidth="1"/>
    <col min="2" max="2" width="30" customWidth="1"/>
    <col min="3" max="4" width="45" customWidth="1"/>
    <col min="5" max="5" width="20" customWidth="1"/>
    <col min="6" max="7" width="12" customWidth="1"/>
    <col min="8" max="8" width="20" customWidth="1"/>
  </cols>
  <sheetData>
    <row r="2" spans="1:8" x14ac:dyDescent="0.3">
      <c r="A2" s="10" t="s">
        <v>154</v>
      </c>
      <c r="B2" s="2" t="s">
        <v>44</v>
      </c>
    </row>
    <row r="3" spans="1:8" x14ac:dyDescent="0.3">
      <c r="A3" s="10" t="s">
        <v>155</v>
      </c>
      <c r="B3" s="2" t="s">
        <v>43</v>
      </c>
    </row>
    <row r="4" spans="1:8" x14ac:dyDescent="0.3">
      <c r="A4" s="10" t="s">
        <v>156</v>
      </c>
      <c r="B4" s="2" t="s">
        <v>4</v>
      </c>
    </row>
    <row r="5" spans="1:8" ht="26.4" x14ac:dyDescent="0.3">
      <c r="A5" s="11" t="s">
        <v>157</v>
      </c>
      <c r="B5" s="11" t="s">
        <v>158</v>
      </c>
      <c r="C5" s="11" t="s">
        <v>159</v>
      </c>
      <c r="D5" s="11" t="s">
        <v>160</v>
      </c>
      <c r="E5" s="11" t="s">
        <v>161</v>
      </c>
      <c r="F5" s="11" t="s">
        <v>162</v>
      </c>
    </row>
    <row r="6" spans="1:8" x14ac:dyDescent="0.3">
      <c r="A6" s="12">
        <f>COUNTIF(F9:F23,"Passed")</f>
        <v>0</v>
      </c>
      <c r="B6" s="12">
        <f>COUNTIF(F9:F23,"Failed")</f>
        <v>0</v>
      </c>
      <c r="C6" s="12">
        <f>F6-E6-D6-B6-A6</f>
        <v>5</v>
      </c>
      <c r="D6" s="12">
        <f>COUNTIF(F9:F23,"Blocked")</f>
        <v>0</v>
      </c>
      <c r="E6" s="12">
        <f>COUNTIF(F9:F23,"Skipped")</f>
        <v>0</v>
      </c>
      <c r="F6" s="12">
        <f>COUNTA(A9:A13)</f>
        <v>5</v>
      </c>
    </row>
    <row r="8" spans="1:8" ht="27.6" x14ac:dyDescent="0.3">
      <c r="A8" s="3" t="s">
        <v>163</v>
      </c>
      <c r="B8" s="3" t="s">
        <v>164</v>
      </c>
      <c r="C8" s="3" t="s">
        <v>165</v>
      </c>
      <c r="D8" s="3" t="s">
        <v>166</v>
      </c>
      <c r="E8" s="3" t="s">
        <v>167</v>
      </c>
      <c r="F8" s="3" t="s">
        <v>168</v>
      </c>
      <c r="G8" s="3" t="s">
        <v>169</v>
      </c>
      <c r="H8" s="3" t="s">
        <v>60</v>
      </c>
    </row>
    <row r="9" spans="1:8" ht="105.6" x14ac:dyDescent="0.3">
      <c r="A9" s="4" t="s">
        <v>118</v>
      </c>
      <c r="B9" s="4" t="s">
        <v>215</v>
      </c>
      <c r="C9" s="4" t="s">
        <v>216</v>
      </c>
      <c r="D9" s="4" t="s">
        <v>217</v>
      </c>
      <c r="E9" s="4"/>
      <c r="F9" s="7" t="s">
        <v>159</v>
      </c>
      <c r="G9" s="7"/>
      <c r="H9" s="4"/>
    </row>
    <row r="10" spans="1:8" ht="52.8" x14ac:dyDescent="0.3">
      <c r="A10" s="4" t="s">
        <v>121</v>
      </c>
      <c r="B10" s="4" t="s">
        <v>218</v>
      </c>
      <c r="C10" s="4" t="s">
        <v>219</v>
      </c>
      <c r="D10" s="4" t="s">
        <v>220</v>
      </c>
      <c r="E10" s="4"/>
      <c r="F10" s="7" t="s">
        <v>159</v>
      </c>
      <c r="G10" s="7"/>
      <c r="H10" s="4"/>
    </row>
    <row r="11" spans="1:8" ht="52.8" x14ac:dyDescent="0.3">
      <c r="A11" s="4" t="s">
        <v>124</v>
      </c>
      <c r="B11" s="4" t="s">
        <v>221</v>
      </c>
      <c r="C11" s="4" t="s">
        <v>222</v>
      </c>
      <c r="D11" s="4" t="s">
        <v>223</v>
      </c>
      <c r="E11" s="4"/>
      <c r="F11" s="7" t="s">
        <v>159</v>
      </c>
      <c r="G11" s="7"/>
      <c r="H11" s="4"/>
    </row>
    <row r="12" spans="1:8" ht="79.2" x14ac:dyDescent="0.3">
      <c r="A12" s="4" t="s">
        <v>127</v>
      </c>
      <c r="B12" s="4" t="s">
        <v>224</v>
      </c>
      <c r="C12" s="4" t="s">
        <v>225</v>
      </c>
      <c r="D12" s="4" t="s">
        <v>226</v>
      </c>
      <c r="E12" s="4"/>
      <c r="F12" s="7" t="s">
        <v>159</v>
      </c>
      <c r="G12" s="7"/>
      <c r="H12" s="4"/>
    </row>
    <row r="13" spans="1:8" ht="52.8" x14ac:dyDescent="0.3">
      <c r="A13" s="4" t="s">
        <v>130</v>
      </c>
      <c r="B13" s="4" t="s">
        <v>227</v>
      </c>
      <c r="C13" s="4" t="s">
        <v>228</v>
      </c>
      <c r="D13" s="4" t="s">
        <v>229</v>
      </c>
      <c r="E13" s="4"/>
      <c r="F13" s="7" t="s">
        <v>159</v>
      </c>
      <c r="G13" s="7"/>
      <c r="H13"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H10"/>
  <sheetViews>
    <sheetView workbookViewId="0"/>
  </sheetViews>
  <sheetFormatPr defaultRowHeight="14.4" x14ac:dyDescent="0.3"/>
  <cols>
    <col min="1" max="1" width="25" customWidth="1"/>
    <col min="2" max="2" width="30" customWidth="1"/>
    <col min="3" max="4" width="45" customWidth="1"/>
    <col min="5" max="5" width="20" customWidth="1"/>
    <col min="6" max="7" width="12" customWidth="1"/>
    <col min="8" max="8" width="20" customWidth="1"/>
  </cols>
  <sheetData>
    <row r="2" spans="1:8" x14ac:dyDescent="0.3">
      <c r="A2" s="10" t="s">
        <v>154</v>
      </c>
      <c r="B2" s="2" t="s">
        <v>48</v>
      </c>
    </row>
    <row r="3" spans="1:8" x14ac:dyDescent="0.3">
      <c r="A3" s="10" t="s">
        <v>155</v>
      </c>
      <c r="B3" s="2" t="s">
        <v>47</v>
      </c>
    </row>
    <row r="4" spans="1:8" x14ac:dyDescent="0.3">
      <c r="A4" s="10" t="s">
        <v>156</v>
      </c>
      <c r="B4" s="2" t="s">
        <v>4</v>
      </c>
    </row>
    <row r="5" spans="1:8" ht="26.4" x14ac:dyDescent="0.3">
      <c r="A5" s="11" t="s">
        <v>157</v>
      </c>
      <c r="B5" s="11" t="s">
        <v>158</v>
      </c>
      <c r="C5" s="11" t="s">
        <v>159</v>
      </c>
      <c r="D5" s="11" t="s">
        <v>160</v>
      </c>
      <c r="E5" s="11" t="s">
        <v>161</v>
      </c>
      <c r="F5" s="11" t="s">
        <v>162</v>
      </c>
    </row>
    <row r="6" spans="1:8" x14ac:dyDescent="0.3">
      <c r="A6" s="12">
        <f>COUNTIF(F9:F20,"Passed")</f>
        <v>0</v>
      </c>
      <c r="B6" s="12">
        <f>COUNTIF(F9:F20,"Failed")</f>
        <v>0</v>
      </c>
      <c r="C6" s="12">
        <f>F6-E6-D6-B6-A6</f>
        <v>2</v>
      </c>
      <c r="D6" s="12">
        <f>COUNTIF(F9:F20,"Blocked")</f>
        <v>0</v>
      </c>
      <c r="E6" s="12">
        <f>COUNTIF(F9:F20,"Skipped")</f>
        <v>0</v>
      </c>
      <c r="F6" s="12">
        <f>COUNTA(A9:A10)</f>
        <v>2</v>
      </c>
    </row>
    <row r="8" spans="1:8" ht="27.6" x14ac:dyDescent="0.3">
      <c r="A8" s="3" t="s">
        <v>163</v>
      </c>
      <c r="B8" s="3" t="s">
        <v>164</v>
      </c>
      <c r="C8" s="3" t="s">
        <v>165</v>
      </c>
      <c r="D8" s="3" t="s">
        <v>166</v>
      </c>
      <c r="E8" s="3" t="s">
        <v>167</v>
      </c>
      <c r="F8" s="3" t="s">
        <v>168</v>
      </c>
      <c r="G8" s="3" t="s">
        <v>169</v>
      </c>
      <c r="H8" s="3" t="s">
        <v>60</v>
      </c>
    </row>
    <row r="9" spans="1:8" ht="66" x14ac:dyDescent="0.3">
      <c r="A9" s="4" t="s">
        <v>134</v>
      </c>
      <c r="B9" s="4" t="s">
        <v>230</v>
      </c>
      <c r="C9" s="4" t="s">
        <v>231</v>
      </c>
      <c r="D9" s="4" t="s">
        <v>232</v>
      </c>
      <c r="E9" s="4"/>
      <c r="F9" s="7" t="s">
        <v>159</v>
      </c>
      <c r="G9" s="7"/>
      <c r="H9" s="4"/>
    </row>
    <row r="10" spans="1:8" ht="52.8" x14ac:dyDescent="0.3">
      <c r="A10" s="4" t="s">
        <v>137</v>
      </c>
      <c r="B10" s="4" t="s">
        <v>233</v>
      </c>
      <c r="C10" s="4" t="s">
        <v>234</v>
      </c>
      <c r="D10" s="4" t="s">
        <v>235</v>
      </c>
      <c r="E10" s="4"/>
      <c r="F10" s="7" t="s">
        <v>159</v>
      </c>
      <c r="G10" s="7"/>
      <c r="H10" s="4"/>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H13"/>
  <sheetViews>
    <sheetView workbookViewId="0"/>
  </sheetViews>
  <sheetFormatPr defaultRowHeight="14.4" x14ac:dyDescent="0.3"/>
  <cols>
    <col min="1" max="1" width="25" customWidth="1"/>
    <col min="2" max="2" width="30" customWidth="1"/>
    <col min="3" max="4" width="45" customWidth="1"/>
    <col min="5" max="5" width="20" customWidth="1"/>
    <col min="6" max="7" width="12" customWidth="1"/>
    <col min="8" max="8" width="20" customWidth="1"/>
  </cols>
  <sheetData>
    <row r="2" spans="1:8" x14ac:dyDescent="0.3">
      <c r="A2" s="10" t="s">
        <v>154</v>
      </c>
      <c r="B2" s="2" t="s">
        <v>52</v>
      </c>
    </row>
    <row r="3" spans="1:8" x14ac:dyDescent="0.3">
      <c r="A3" s="10" t="s">
        <v>155</v>
      </c>
      <c r="B3" s="2" t="s">
        <v>51</v>
      </c>
    </row>
    <row r="4" spans="1:8" x14ac:dyDescent="0.3">
      <c r="A4" s="10" t="s">
        <v>156</v>
      </c>
      <c r="B4" s="2" t="s">
        <v>4</v>
      </c>
    </row>
    <row r="5" spans="1:8" ht="26.4" x14ac:dyDescent="0.3">
      <c r="A5" s="11" t="s">
        <v>157</v>
      </c>
      <c r="B5" s="11" t="s">
        <v>158</v>
      </c>
      <c r="C5" s="11" t="s">
        <v>159</v>
      </c>
      <c r="D5" s="11" t="s">
        <v>160</v>
      </c>
      <c r="E5" s="11" t="s">
        <v>161</v>
      </c>
      <c r="F5" s="11" t="s">
        <v>162</v>
      </c>
    </row>
    <row r="6" spans="1:8" x14ac:dyDescent="0.3">
      <c r="A6" s="12">
        <f>COUNTIF(F9:F23,"Passed")</f>
        <v>0</v>
      </c>
      <c r="B6" s="12">
        <f>COUNTIF(F9:F23,"Failed")</f>
        <v>0</v>
      </c>
      <c r="C6" s="12">
        <f>F6-E6-D6-B6-A6</f>
        <v>5</v>
      </c>
      <c r="D6" s="12">
        <f>COUNTIF(F9:F23,"Blocked")</f>
        <v>0</v>
      </c>
      <c r="E6" s="12">
        <f>COUNTIF(F9:F23,"Skipped")</f>
        <v>0</v>
      </c>
      <c r="F6" s="12">
        <f>COUNTA(A9:A13)</f>
        <v>5</v>
      </c>
    </row>
    <row r="8" spans="1:8" ht="27.6" x14ac:dyDescent="0.3">
      <c r="A8" s="3" t="s">
        <v>163</v>
      </c>
      <c r="B8" s="3" t="s">
        <v>164</v>
      </c>
      <c r="C8" s="3" t="s">
        <v>165</v>
      </c>
      <c r="D8" s="3" t="s">
        <v>166</v>
      </c>
      <c r="E8" s="3" t="s">
        <v>167</v>
      </c>
      <c r="F8" s="3" t="s">
        <v>168</v>
      </c>
      <c r="G8" s="3" t="s">
        <v>169</v>
      </c>
      <c r="H8" s="3" t="s">
        <v>60</v>
      </c>
    </row>
    <row r="9" spans="1:8" ht="92.4" x14ac:dyDescent="0.3">
      <c r="A9" s="4" t="s">
        <v>141</v>
      </c>
      <c r="B9" s="4" t="s">
        <v>236</v>
      </c>
      <c r="C9" s="4" t="s">
        <v>237</v>
      </c>
      <c r="D9" s="4" t="s">
        <v>238</v>
      </c>
      <c r="E9" s="4"/>
      <c r="F9" s="7" t="s">
        <v>159</v>
      </c>
      <c r="G9" s="7"/>
      <c r="H9" s="4"/>
    </row>
    <row r="10" spans="1:8" ht="52.8" x14ac:dyDescent="0.3">
      <c r="A10" s="4" t="s">
        <v>144</v>
      </c>
      <c r="B10" s="4" t="s">
        <v>239</v>
      </c>
      <c r="C10" s="4" t="s">
        <v>240</v>
      </c>
      <c r="D10" s="4" t="s">
        <v>241</v>
      </c>
      <c r="E10" s="4"/>
      <c r="F10" s="7" t="s">
        <v>159</v>
      </c>
      <c r="G10" s="7"/>
      <c r="H10" s="4"/>
    </row>
    <row r="11" spans="1:8" ht="52.8" x14ac:dyDescent="0.3">
      <c r="A11" s="4" t="s">
        <v>147</v>
      </c>
      <c r="B11" s="4" t="s">
        <v>242</v>
      </c>
      <c r="C11" s="4" t="s">
        <v>243</v>
      </c>
      <c r="D11" s="4" t="s">
        <v>244</v>
      </c>
      <c r="E11" s="4"/>
      <c r="F11" s="7" t="s">
        <v>159</v>
      </c>
      <c r="G11" s="7"/>
      <c r="H11" s="4"/>
    </row>
    <row r="12" spans="1:8" ht="52.8" x14ac:dyDescent="0.3">
      <c r="A12" s="4" t="s">
        <v>150</v>
      </c>
      <c r="B12" s="4" t="s">
        <v>245</v>
      </c>
      <c r="C12" s="4" t="s">
        <v>246</v>
      </c>
      <c r="D12" s="4" t="s">
        <v>247</v>
      </c>
      <c r="E12" s="4"/>
      <c r="F12" s="7" t="s">
        <v>159</v>
      </c>
      <c r="G12" s="7"/>
      <c r="H12" s="4"/>
    </row>
    <row r="13" spans="1:8" ht="52.8" x14ac:dyDescent="0.3">
      <c r="A13" s="4" t="s">
        <v>153</v>
      </c>
      <c r="B13" s="4" t="s">
        <v>248</v>
      </c>
      <c r="C13" s="4" t="s">
        <v>249</v>
      </c>
      <c r="D13" s="4" t="s">
        <v>250</v>
      </c>
      <c r="E13" s="4"/>
      <c r="F13" s="7" t="s">
        <v>159</v>
      </c>
      <c r="G13" s="7"/>
      <c r="H13" s="4"/>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20"/>
  <sheetViews>
    <sheetView workbookViewId="0"/>
  </sheetViews>
  <sheetFormatPr defaultRowHeight="14.4" x14ac:dyDescent="0.3"/>
  <cols>
    <col min="1" max="1" width="3" customWidth="1"/>
    <col min="2" max="2" width="8" customWidth="1"/>
    <col min="3" max="3" width="25" customWidth="1"/>
    <col min="4" max="8" width="12" customWidth="1"/>
    <col min="9" max="9" width="22" customWidth="1"/>
  </cols>
  <sheetData>
    <row r="1" spans="2:9" x14ac:dyDescent="0.3">
      <c r="B1" s="17" t="s">
        <v>251</v>
      </c>
      <c r="C1" s="16"/>
      <c r="D1" s="16"/>
      <c r="E1" s="16"/>
      <c r="F1" s="16"/>
      <c r="G1" s="16"/>
      <c r="H1" s="16"/>
    </row>
    <row r="3" spans="2:9" x14ac:dyDescent="0.3">
      <c r="B3" s="1" t="s">
        <v>1</v>
      </c>
      <c r="C3" s="2" t="str">
        <f>Cover!C4</f>
        <v>DOLIBARR</v>
      </c>
      <c r="E3" s="1" t="s">
        <v>3</v>
      </c>
      <c r="G3" s="1" t="s">
        <v>4</v>
      </c>
    </row>
    <row r="4" spans="2:9" x14ac:dyDescent="0.3">
      <c r="B4" s="1" t="s">
        <v>5</v>
      </c>
      <c r="C4" s="2" t="str">
        <f>Cover!C5</f>
        <v>DOLIBARR</v>
      </c>
      <c r="E4" s="1" t="s">
        <v>6</v>
      </c>
    </row>
    <row r="5" spans="2:9" x14ac:dyDescent="0.3">
      <c r="B5" s="1" t="s">
        <v>7</v>
      </c>
      <c r="C5" s="2" t="s">
        <v>252</v>
      </c>
      <c r="E5" s="1" t="s">
        <v>9</v>
      </c>
    </row>
    <row r="6" spans="2:9" x14ac:dyDescent="0.3">
      <c r="B6" s="1" t="s">
        <v>253</v>
      </c>
    </row>
    <row r="10" spans="2:9" ht="27.6" x14ac:dyDescent="0.3">
      <c r="B10" s="3" t="s">
        <v>26</v>
      </c>
      <c r="C10" s="3" t="s">
        <v>254</v>
      </c>
      <c r="D10" s="3" t="s">
        <v>255</v>
      </c>
      <c r="E10" s="3" t="s">
        <v>256</v>
      </c>
      <c r="F10" s="3" t="s">
        <v>159</v>
      </c>
      <c r="G10" s="3" t="s">
        <v>160</v>
      </c>
      <c r="H10" s="3" t="s">
        <v>161</v>
      </c>
      <c r="I10" s="3" t="s">
        <v>257</v>
      </c>
    </row>
    <row r="11" spans="2:9" x14ac:dyDescent="0.3">
      <c r="B11" s="7">
        <v>1</v>
      </c>
      <c r="C11" s="8" t="str">
        <f>Tasks_CreatePro!B2</f>
        <v>Tasks_CreatePro</v>
      </c>
      <c r="D11" s="7">
        <f>Tasks_CreatePro!A6</f>
        <v>0</v>
      </c>
      <c r="E11" s="7">
        <f>Tasks_CreatePro!B6</f>
        <v>0</v>
      </c>
      <c r="F11" s="7">
        <f>Tasks_CreatePro!C6</f>
        <v>7</v>
      </c>
      <c r="G11" s="7">
        <f>Tasks_CreatePro!D6</f>
        <v>0</v>
      </c>
      <c r="H11" s="7">
        <f>Tasks_CreatePro!E6</f>
        <v>0</v>
      </c>
      <c r="I11" s="7">
        <f>Tasks_CreatePro!F6</f>
        <v>7</v>
      </c>
    </row>
    <row r="12" spans="2:9" x14ac:dyDescent="0.3">
      <c r="B12" s="7">
        <v>2</v>
      </c>
      <c r="C12" s="8" t="str">
        <f>Tasks_ValPro!B2</f>
        <v>Tasks_ValPro</v>
      </c>
      <c r="D12" s="7">
        <f>Tasks_ValPro!A6</f>
        <v>0</v>
      </c>
      <c r="E12" s="7">
        <f>Tasks_ValPro!B6</f>
        <v>0</v>
      </c>
      <c r="F12" s="7">
        <f>Tasks_ValPro!C6</f>
        <v>4</v>
      </c>
      <c r="G12" s="7">
        <f>Tasks_ValPro!D6</f>
        <v>0</v>
      </c>
      <c r="H12" s="7">
        <f>Tasks_ValPro!E6</f>
        <v>0</v>
      </c>
      <c r="I12" s="7">
        <f>Tasks_ValPro!F6</f>
        <v>4</v>
      </c>
    </row>
    <row r="13" spans="2:9" x14ac:dyDescent="0.3">
      <c r="B13" s="7">
        <v>3</v>
      </c>
      <c r="C13" s="8" t="str">
        <f>Tasks_CreateTask!B2</f>
        <v>Tasks_CreateTask</v>
      </c>
      <c r="D13" s="7">
        <f>Tasks_CreateTask!A6</f>
        <v>0</v>
      </c>
      <c r="E13" s="7">
        <f>Tasks_CreateTask!B6</f>
        <v>0</v>
      </c>
      <c r="F13" s="7">
        <f>Tasks_CreateTask!C6</f>
        <v>4</v>
      </c>
      <c r="G13" s="7">
        <f>Tasks_CreateTask!D6</f>
        <v>0</v>
      </c>
      <c r="H13" s="7">
        <f>Tasks_CreateTask!E6</f>
        <v>0</v>
      </c>
      <c r="I13" s="7">
        <f>Tasks_CreateTask!F6</f>
        <v>4</v>
      </c>
    </row>
    <row r="14" spans="2:9" x14ac:dyDescent="0.3">
      <c r="B14" s="7">
        <v>4</v>
      </c>
      <c r="C14" s="8" t="str">
        <f>Tasks_UpdateProg!B2</f>
        <v>Tasks_UpdateProg</v>
      </c>
      <c r="D14" s="7">
        <f>Tasks_UpdateProg!A6</f>
        <v>0</v>
      </c>
      <c r="E14" s="7">
        <f>Tasks_UpdateProg!B6</f>
        <v>0</v>
      </c>
      <c r="F14" s="7">
        <f>Tasks_UpdateProg!C6</f>
        <v>5</v>
      </c>
      <c r="G14" s="7">
        <f>Tasks_UpdateProg!D6</f>
        <v>0</v>
      </c>
      <c r="H14" s="7">
        <f>Tasks_UpdateProg!E6</f>
        <v>0</v>
      </c>
      <c r="I14" s="7">
        <f>Tasks_UpdateProg!F6</f>
        <v>5</v>
      </c>
    </row>
    <row r="15" spans="2:9" x14ac:dyDescent="0.3">
      <c r="B15" s="7">
        <v>5</v>
      </c>
      <c r="C15" s="8" t="str">
        <f>Tasks_SearchPro!B2</f>
        <v>Tasks_SearchPro</v>
      </c>
      <c r="D15" s="7">
        <f>Tasks_SearchPro!A6</f>
        <v>0</v>
      </c>
      <c r="E15" s="7">
        <f>Tasks_SearchPro!B6</f>
        <v>0</v>
      </c>
      <c r="F15" s="7">
        <f>Tasks_SearchPro!C6</f>
        <v>2</v>
      </c>
      <c r="G15" s="7">
        <f>Tasks_SearchPro!D6</f>
        <v>0</v>
      </c>
      <c r="H15" s="7">
        <f>Tasks_SearchPro!E6</f>
        <v>0</v>
      </c>
      <c r="I15" s="7">
        <f>Tasks_SearchPro!F6</f>
        <v>2</v>
      </c>
    </row>
    <row r="16" spans="2:9" x14ac:dyDescent="0.3">
      <c r="B16" s="7">
        <v>6</v>
      </c>
      <c r="C16" s="8" t="str">
        <f>Tasks_StatusPro!B2</f>
        <v>Tasks_StatusPro</v>
      </c>
      <c r="D16" s="7">
        <f>Tasks_StatusPro!A6</f>
        <v>0</v>
      </c>
      <c r="E16" s="7">
        <f>Tasks_StatusPro!B6</f>
        <v>0</v>
      </c>
      <c r="F16" s="7">
        <f>Tasks_StatusPro!C6</f>
        <v>5</v>
      </c>
      <c r="G16" s="7">
        <f>Tasks_StatusPro!D6</f>
        <v>0</v>
      </c>
      <c r="H16" s="7">
        <f>Tasks_StatusPro!E6</f>
        <v>0</v>
      </c>
      <c r="I16" s="7">
        <f>Tasks_StatusPro!F6</f>
        <v>5</v>
      </c>
    </row>
    <row r="17" spans="3:9" x14ac:dyDescent="0.3">
      <c r="C17" s="13" t="s">
        <v>258</v>
      </c>
      <c r="D17" s="14">
        <f t="shared" ref="D17:I17" si="0">SUM(D11:D16)</f>
        <v>0</v>
      </c>
      <c r="E17" s="14">
        <f t="shared" si="0"/>
        <v>0</v>
      </c>
      <c r="F17" s="14">
        <f t="shared" si="0"/>
        <v>27</v>
      </c>
      <c r="G17" s="14">
        <f t="shared" si="0"/>
        <v>0</v>
      </c>
      <c r="H17" s="14">
        <f t="shared" si="0"/>
        <v>0</v>
      </c>
      <c r="I17" s="14">
        <f t="shared" si="0"/>
        <v>27</v>
      </c>
    </row>
    <row r="19" spans="3:9" x14ac:dyDescent="0.3">
      <c r="C19" s="10" t="s">
        <v>259</v>
      </c>
      <c r="E19" s="11">
        <f>IFERROR((D17+E17)*100/(I17-G17-H17),0)</f>
        <v>0</v>
      </c>
      <c r="F19" s="10" t="s">
        <v>260</v>
      </c>
    </row>
    <row r="20" spans="3:9" x14ac:dyDescent="0.3">
      <c r="C20" s="10" t="s">
        <v>261</v>
      </c>
      <c r="E20" s="11">
        <f>IFERROR(D17*100/(D17+E17),0)</f>
        <v>0</v>
      </c>
      <c r="F20" s="10" t="s">
        <v>260</v>
      </c>
    </row>
  </sheetData>
  <mergeCells count="1">
    <mergeCell ref="B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Test case List</vt:lpstr>
      <vt:lpstr>TestDesign</vt:lpstr>
      <vt:lpstr>Tasks_CreatePro</vt:lpstr>
      <vt:lpstr>Tasks_ValPro</vt:lpstr>
      <vt:lpstr>Tasks_CreateTask</vt:lpstr>
      <vt:lpstr>Tasks_UpdateProg</vt:lpstr>
      <vt:lpstr>Tasks_SearchPro</vt:lpstr>
      <vt:lpstr>Tasks_StatusPro</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Vu</cp:lastModifiedBy>
  <dcterms:created xsi:type="dcterms:W3CDTF">2026-10-21T07:35:44Z</dcterms:created>
  <dcterms:modified xsi:type="dcterms:W3CDTF">2026-10-21T07:41:35Z</dcterms:modified>
</cp:coreProperties>
</file>