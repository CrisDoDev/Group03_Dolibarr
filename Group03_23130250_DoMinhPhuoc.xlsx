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Project nhóm\"/>
    </mc:Choice>
  </mc:AlternateContent>
  <xr:revisionPtr revIDLastSave="0" documentId="13_ncr:1_{A499E1A1-C002-4CCA-A8E4-E0514D475021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over" sheetId="1" r:id="rId1"/>
    <sheet name="Test case List" sheetId="2" r:id="rId2"/>
    <sheet name="TestDesign" sheetId="3" r:id="rId3"/>
    <sheet name="Add Product" sheetId="6" r:id="rId4"/>
    <sheet name="List Product" sheetId="5" r:id="rId5"/>
    <sheet name="Edit Product" sheetId="7" r:id="rId6"/>
    <sheet name="Delete Product" sheetId="4" r:id="rId7"/>
    <sheet name="Test Report" sheetId="8" r:id="rId8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5" i="8" l="1"/>
  <c r="C14" i="8"/>
  <c r="C13" i="8"/>
  <c r="C12" i="8"/>
  <c r="C11" i="8"/>
  <c r="C4" i="8"/>
  <c r="C3" i="8"/>
  <c r="F6" i="4"/>
  <c r="E6" i="4"/>
  <c r="H14" i="8" s="1"/>
  <c r="D6" i="4"/>
  <c r="G14" i="8" s="1"/>
  <c r="B6" i="4"/>
  <c r="E14" i="8" s="1"/>
  <c r="A6" i="4"/>
  <c r="D14" i="8" s="1"/>
  <c r="F6" i="7"/>
  <c r="E6" i="7"/>
  <c r="H13" i="8" s="1"/>
  <c r="D6" i="7"/>
  <c r="G13" i="8" s="1"/>
  <c r="B6" i="7"/>
  <c r="E13" i="8" s="1"/>
  <c r="A6" i="7"/>
  <c r="D13" i="8" s="1"/>
  <c r="F6" i="5"/>
  <c r="E6" i="5"/>
  <c r="H12" i="8" s="1"/>
  <c r="D6" i="5"/>
  <c r="G12" i="8" s="1"/>
  <c r="B6" i="5"/>
  <c r="E12" i="8" s="1"/>
  <c r="A6" i="5"/>
  <c r="D12" i="8" s="1"/>
  <c r="F6" i="6"/>
  <c r="E6" i="6"/>
  <c r="H11" i="8" s="1"/>
  <c r="D6" i="6"/>
  <c r="G11" i="8" s="1"/>
  <c r="B6" i="6"/>
  <c r="E11" i="8" s="1"/>
  <c r="A6" i="6"/>
  <c r="D11" i="8" s="1"/>
  <c r="D4" i="2"/>
  <c r="D3" i="2"/>
  <c r="C6" i="7" l="1"/>
  <c r="D15" i="8"/>
  <c r="E15" i="8"/>
  <c r="G15" i="8"/>
  <c r="H15" i="8"/>
  <c r="C6" i="6"/>
  <c r="E18" i="8" l="1"/>
  <c r="E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<sst xmlns="http://schemas.openxmlformats.org/spreadsheetml/2006/main" count="587" uniqueCount="361">
  <si>
    <t>TEST CASE</t>
  </si>
  <si>
    <t>Project Name</t>
  </si>
  <si>
    <t>DOLIBARR</t>
  </si>
  <si>
    <t>Creator</t>
  </si>
  <si>
    <t>Do Minh Phuoc</t>
  </si>
  <si>
    <t>Project Code</t>
  </si>
  <si>
    <t>Reviewer/Approver</t>
  </si>
  <si>
    <t>Document Code</t>
  </si>
  <si>
    <t>DOLIBARR_TestCase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</si>
  <si>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</si>
  <si>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</si>
  <si>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</si>
  <si>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</si>
  <si>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</si>
  <si>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</si>
  <si>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</si>
  <si>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</si>
  <si>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20/10/2026</t>
  </si>
  <si>
    <t>0.1</t>
  </si>
  <si>
    <t>Products</t>
  </si>
  <si>
    <t>A</t>
  </si>
  <si>
    <t>Created 27 Product test cases</t>
  </si>
  <si>
    <t>Assignment 6</t>
  </si>
  <si>
    <t>TEST CASE LIST</t>
  </si>
  <si>
    <t>Test Environment Setup Description</t>
  </si>
  <si>
    <t>Dolibarr ERP &amp; CRM demo 24.0.2; Google Chrome; authorized Products module access.</t>
  </si>
  <si>
    <t>No</t>
  </si>
  <si>
    <t>Function Name</t>
  </si>
  <si>
    <t>Sheet Name</t>
  </si>
  <si>
    <t>Description</t>
  </si>
  <si>
    <t>Pre-Condition</t>
  </si>
  <si>
    <t>Add Product</t>
  </si>
  <si>
    <t>Create a product and validate required fields.</t>
  </si>
  <si>
    <t>Sign in and access Products; 
use independent sample references.</t>
  </si>
  <si>
    <t>List / Search Product</t>
  </si>
  <si>
    <t>List Product</t>
  </si>
  <si>
    <t>List, find, view, and verify saved products.</t>
  </si>
  <si>
    <t>Sign in and prepare test 
records when necessary.</t>
  </si>
  <si>
    <t>Edit Product</t>
  </si>
  <si>
    <t>Update product data and verify saved changes.</t>
  </si>
  <si>
    <t>Sign in and prepare an editable 
test product.</t>
  </si>
  <si>
    <t>Delete Product</t>
  </si>
  <si>
    <t>Check deletion and cancel behavior using owned test data.</t>
  </si>
  <si>
    <t>Sign in and prepare disposable, 
tester-owned products.</t>
  </si>
  <si>
    <t>Requirement Level 1</t>
  </si>
  <si>
    <t>Requirement Level 2</t>
  </si>
  <si>
    <t>Requirement Level 3</t>
  </si>
  <si>
    <t>Test Criteria</t>
  </si>
  <si>
    <t>Test Type</t>
  </si>
  <si>
    <t>Note</t>
  </si>
  <si>
    <t>1. Products</t>
  </si>
  <si>
    <t>1.1 Create</t>
  </si>
  <si>
    <t>Successful create / Minimum data</t>
  </si>
  <si>
    <t>Check create a product using mandatory fields only.</t>
  </si>
  <si>
    <t>Function</t>
  </si>
  <si>
    <t>Successful create / Optional text</t>
  </si>
  <si>
    <t>Check create with description, note and public URL.</t>
  </si>
  <si>
    <t>Required field / Product ref.</t>
  </si>
  <si>
    <t>Check reject creation when Product ref. is empty.</t>
  </si>
  <si>
    <t>Required field / Label</t>
  </si>
  <si>
    <t>Check reject creation when Label is empty.</t>
  </si>
  <si>
    <t>Required fields / Both empty</t>
  </si>
  <si>
    <t>Check prevent creation when both required fields are empty.</t>
  </si>
  <si>
    <t>Validation recovery</t>
  </si>
  <si>
    <t>Check correct a missing required field after validation.</t>
  </si>
  <si>
    <t>Sell status option</t>
  </si>
  <si>
    <t>Check create a product with an alternative Sell status.</t>
  </si>
  <si>
    <t>Purchase status option</t>
  </si>
  <si>
    <t>Check create a product with an alternative Purchase status.</t>
  </si>
  <si>
    <t>Valid monetary fields</t>
  </si>
  <si>
    <t>Check create a product with a positive selling price.</t>
  </si>
  <si>
    <t>Invalid monetary input</t>
  </si>
  <si>
    <t>Check do not store alphabetic text as a numeric selling price.</t>
  </si>
  <si>
    <t>Cancel creation</t>
  </si>
  <si>
    <t>Check cancel a filled New product form without saving.</t>
  </si>
  <si>
    <t>1.2 Read</t>
  </si>
  <si>
    <t>List display</t>
  </si>
  <si>
    <t>Check open Products list and verify core columns.</t>
  </si>
  <si>
    <t>GUI</t>
  </si>
  <si>
    <t>Search by reference</t>
  </si>
  <si>
    <t>Check find a prepared product using its exact Product ref..</t>
  </si>
  <si>
    <t>Search by label</t>
  </si>
  <si>
    <t>Check filter Products using a prepared label.</t>
  </si>
  <si>
    <t>Search / No match</t>
  </si>
  <si>
    <t>Check return no unrelated records for an unmatched reference.</t>
  </si>
  <si>
    <t>Details / Persistence</t>
  </si>
  <si>
    <t>Check verify saved product details after page reload.</t>
  </si>
  <si>
    <t>1.3 Update</t>
  </si>
  <si>
    <t>Open edit form</t>
  </si>
  <si>
    <t>Check open MODIFY for an existing product.</t>
  </si>
  <si>
    <t>Update Label</t>
  </si>
  <si>
    <t>Check save a changed product Label and verify persistence.</t>
  </si>
  <si>
    <t>Update Description</t>
  </si>
  <si>
    <t>Check edit product Description without altering reference.</t>
  </si>
  <si>
    <t>Update Selling price</t>
  </si>
  <si>
    <t>Check update selling price to a valid positive value.</t>
  </si>
  <si>
    <t>Update Sell status</t>
  </si>
  <si>
    <t>Check change Sell status of an existing product.</t>
  </si>
  <si>
    <t>Required Label on edit</t>
  </si>
  <si>
    <t>Check reject clearing required Label during an update.</t>
  </si>
  <si>
    <t>Cancel edit</t>
  </si>
  <si>
    <t>Check cancel changes in product edit form.</t>
  </si>
  <si>
    <t>1.4 Delete</t>
  </si>
  <si>
    <t>Delete action / Confirmation</t>
  </si>
  <si>
    <t>Check check deletion requires an explicit confirmation step.</t>
  </si>
  <si>
    <t>Cancel deletion</t>
  </si>
  <si>
    <t>Check cancel the delete operation and preserve the product.</t>
  </si>
  <si>
    <t>Delete successful / Unlinked data</t>
  </si>
  <si>
    <t>Check delete one disposable product and verify removal.</t>
  </si>
  <si>
    <t>Delete isolation / Other product</t>
  </si>
  <si>
    <t>Check deleting one product does not remove a separate product.</t>
  </si>
  <si>
    <t>Module Code</t>
  </si>
  <si>
    <t>ADD_PRODUCT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</si>
  <si>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</si>
  <si>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</si>
  <si>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</si>
  <si>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</si>
  <si>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</si>
  <si>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</si>
  <si>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</si>
  <si>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</si>
  <si>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</si>
  <si>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</si>
  <si>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</si>
  <si>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</si>
  <si>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</si>
  <si>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</si>
  <si>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</si>
  <si>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ADD_PRODUCT-01</t>
  </si>
  <si>
    <t>Create a product using mandatory fields only</t>
  </si>
  <si>
    <t>PRE: Signed in with Products access; reference QA23130250-C01-[RUN] does not exist.
1. Open Products &gt; New product.
2. Enter Product ref. = QA23130250-C01-[RUN]; Label = Test Basic Product 01.
3. Keep optional fields blank and leave visible defaults unchanged.
4. Click CREATE; open the saved product details.</t>
  </si>
  <si>
    <t>Product is created and its detail page shows the exact reference and label entered; no optional field input is required.</t>
  </si>
  <si>
    <t>ADD_PRODUCT-02</t>
  </si>
  <si>
    <t>Create with description, note and public URL</t>
  </si>
  <si>
    <t>PRE: New unique reference QA23130250-C02-[RUN].
1. Open New product.
2. Enter Product ref. = QA23130250-C02-[RUN], Label = Test Text Product.
3. Enter Description = Product created for QA review; Public URL = https://example.com/qa-product; Note = Internal QA note.
4. Click CREATE, then review detail fields.</t>
  </si>
  <si>
    <t>Creation succeeds; entered optional text and URL are retained in their corresponding product fields (including the Notes area when applicable).</t>
  </si>
  <si>
    <t>ADD_PRODUCT-03</t>
  </si>
  <si>
    <t>Reject creation when Product ref. is empty</t>
  </si>
  <si>
    <t>PRE: On New product form.
1. Leave Product ref. blank.
2. Enter Label = Missing Reference Test.
3. Click CREATE.
4. Check the form response and whether any product was created.</t>
  </si>
  <si>
    <t>Creation is prevented and Product ref. is identified as required; no product with this attempted data is added.</t>
  </si>
  <si>
    <t>ADD_PRODUCT-04</t>
  </si>
  <si>
    <t>Reject creation when Label is empty</t>
  </si>
  <si>
    <t>PRE: New unique reference QA23130250-C04-[RUN].
1. Enter Product ref. = QA23130250-C04-[RUN].
2. Leave Label empty.
3. Click CREATE.
4. Check the response and product list.</t>
  </si>
  <si>
    <t>Creation is prevented; Label is identified as required and the reference is not added as a new product.</t>
  </si>
  <si>
    <t>ADD_PRODUCT-05</t>
  </si>
  <si>
    <t>Prevent creation when both required fields are empty</t>
  </si>
  <si>
    <t>PRE: On New product form.
1. Leave Product ref. and Label empty.
2. Click CREATE.
3. Observe validation and stay on the form.</t>
  </si>
  <si>
    <t>No product is created; the form requires missing mandatory input. Exact message text is not assumed.</t>
  </si>
  <si>
    <t>ADD_PRODUCT-06</t>
  </si>
  <si>
    <t>Correct a missing required field after validation</t>
  </si>
  <si>
    <t>PRE: New unique reference QA23130250-C06-[RUN].
1. Open New product; fill Product ref. = QA23130250-C06-[RUN]; leave Label empty.
2. Click CREATE and observe required-field validation.
3. Enter Label = Corrected After Error.
4. Click CREATE again; inspect created details.</t>
  </si>
  <si>
    <t>First attempt is blocked; after entering the missing Label, one product is created with the corrected reference and label.</t>
  </si>
  <si>
    <t>ADD_PRODUC
T_07</t>
  </si>
  <si>
    <t>Create a product with an alternative Sell status</t>
  </si>
  <si>
    <t>PRE: New unique reference QA23130250-C07-[RUN]; Sell status has an alternative in the form.
1. Open New product.
2. Fill Product ref. = QA23130250-C07-[RUN], Label = Alternate Sell Status.
3. In Status (Sell), choose an available option different from For sale; keep Purchase at default.
4. Click CREATE; check status in product details/list.</t>
  </si>
  <si>
    <t>Product is created; Sell status matches the option selected and Purchase status retains the default value.</t>
  </si>
  <si>
    <t>ADD_PRODUC
T_08</t>
  </si>
  <si>
    <t>Create a product with an alternative Purchase status</t>
  </si>
  <si>
    <t>PRE: New unique reference QA23130250-C08-[RUN]; Purchase status has an alternative.
1. Open New product; fill reference QA23130250-C08-[RUN] and Label = Alternate Purchase Status.
2. Keep Sell at default.
3. Change Status (Purchase) to an available alternative to For purchase.
4. Click CREATE; inspect the saved statuses.</t>
  </si>
  <si>
    <t>Product is created; Purchase status equals the selected value and Sell status keeps its original default.</t>
  </si>
  <si>
    <t>ADD_PRODUC
T_09</t>
  </si>
  <si>
    <t>Create a product with a positive selling price</t>
  </si>
  <si>
    <t>PRE: New reference QA23130250-C09-[RUN].
1. Open New product; enter ref QA23130250-C09-[RUN], Label = Priced Test Product.
2. Enter Selling price = 125.50; retain shown tax mode and Tax Rate = 20% where available.
3. Click CREATE; visit Selling prices or details.</t>
  </si>
  <si>
    <t>Product is created; selling price is recorded as 125.50 in the configured tax mode; tax selection remains as chosen.</t>
  </si>
  <si>
    <t>ADD_PRODUC
T_10</t>
  </si>
  <si>
    <t>Do not store alphabetic text as a numeric selling price</t>
  </si>
  <si>
    <t>PRE: New reference QA23130250-C10-[RUN].
1. Open New product; fill required fields with QA23130250-C10-[RUN] and Label = Invalid Price Input.
2. Try typing Selling price = abc.
3. Observe field behavior and attempt CREATE only if the form allows it.
4. Inspect any saved price or validation.</t>
  </si>
  <si>
    <t>Non-numeric text is not persisted as a numeric selling price. Input may be rejected/cleared by the field or validation may be shown; the exact UI response must be observed.</t>
  </si>
  <si>
    <t>ADD_PRODUC
T_11</t>
  </si>
  <si>
    <t>Cancel a filled New product form without saving</t>
  </si>
  <si>
    <t>PRE: New reference QA23130250-C11-[RUN].
1. Open New product.
2. Enter Product ref. = QA23130250-C11-[RUN]; Label = Cancel Creation Test.
3. Click CANCEL.
4. Return to Products &gt; List and search for the reference.</t>
  </si>
  <si>
    <t>The create operation is abandoned; no new product with the test reference exists in the list.</t>
  </si>
  <si>
    <t>LIST_PRODUCT</t>
  </si>
  <si>
    <t>LIST_PRODUCT-01</t>
  </si>
  <si>
    <t>Open Products list and verify core columns</t>
  </si>
  <si>
    <t>PRE: Signed in and Products module enabled.
1. Click Products &gt; List.
2. Observe the list header and visible rows.
3. Check Product ref., Label, Selling price, Status (Sell) and Status (Purchase) columns.</t>
  </si>
  <si>
    <t>Products list opens without an error and displays the core columns and product records available to the signed-in account.</t>
  </si>
  <si>
    <t>LIST_PRODUCT-02</t>
  </si>
  <si>
    <t>Find a prepared product using its exact Product ref.</t>
  </si>
  <si>
    <t>PRE: Own test product with ref QA23130250-R02-[RUN] and Label = Search By Reference exists.
1. Open Products &gt; List.
2. Enter QA23130250-R02-[RUN] into the Product ref. filter.
3. Run the list search/filter.
4. Open the matching result.</t>
  </si>
  <si>
    <t>The search result includes the prepared product with the matching exact reference; its detail page opens with the correct ref and label.</t>
  </si>
  <si>
    <t>Fixture prepared before execution</t>
  </si>
  <si>
    <t>LIST_PRODUCT-03</t>
  </si>
  <si>
    <t>Filter Products using a prepared label</t>
  </si>
  <si>
    <t>PRE: Own product QA23130250-R03-[RUN] with Label = Searchable QA Label exists.
1. Open Products &gt; List.
2. Enter Searchable QA Label in the Label filter.
3. Trigger filtering and review the returned rows.</t>
  </si>
  <si>
    <t>The prepared product appears among the matching results; the product reference links to its correct details.</t>
  </si>
  <si>
    <t>LIST_PRODUCT-04</t>
  </si>
  <si>
    <t>Return no unrelated records for an unmatched reference</t>
  </si>
  <si>
    <t>PRE: Reference QA23130250-NEVER-[RUN] does not exist.
1. Open Products &gt; List.
2. Filter Product ref. by QA23130250-NEVER-[RUN].
3. Execute search; inspect the result area.</t>
  </si>
  <si>
    <t>No product row with an unrelated reference is returned for the exact unmatched filter; the screen remains usable.</t>
  </si>
  <si>
    <t>LIST_PRODUCT-05</t>
  </si>
  <si>
    <t>Verify saved product details after page reload</t>
  </si>
  <si>
    <t>PRE: Own product QA23130250-R05-[RUN] exists with Label = Persisted Label; Description = Persisted QA Description.
1. Find and open the product.
2. Check ref, label, description and visible status values.
3. Reload the browser page; check the same values again.</t>
  </si>
  <si>
    <t>Details show the previously saved values both before and after page reload; no data changes without an edit action.</t>
  </si>
  <si>
    <t>EDIT_PRODUCT</t>
  </si>
  <si>
    <t>EDIT_PRODUCT-01</t>
  </si>
  <si>
    <t>Open MODIFY for an existing product</t>
  </si>
  <si>
    <t>PRE: Own product QA23130250-U01-[RUN] exists.
1. Locate it in Products &gt; List.
2. Open product details.
3. Click MODIFY; inspect the edit form and its initial values.</t>
  </si>
  <si>
    <t>The edit form opens for the selected product and prepopulates its stored data; no changes are saved merely by opening it.</t>
  </si>
  <si>
    <t>EDIT_PRODUCT-02</t>
  </si>
  <si>
    <t>Save a changed product Label and verify persistence</t>
  </si>
  <si>
    <t>PRE: Own product QA23130250-U02-[RUN] exists, Label = Before Update.
1. Open details &gt; MODIFY.
2. Change Label to After Update 23130250.
3. Save using the edit form action.
4. Reload details and search the list by reference.</t>
  </si>
  <si>
    <t>The updated Label is displayed in details and list after reload; original Product ref. remains unchanged.</t>
  </si>
  <si>
    <t>EDIT_PRODUCT-03</t>
  </si>
  <si>
    <t>Edit product Description without altering reference</t>
  </si>
  <si>
    <t>PRE: Own product QA23130250-U03-[RUN] exists with Description = Old QA Description.
1. Open MODIFY.
2. Replace Description with New QA Description 23130250.
3. Save; reopen details and reload.</t>
  </si>
  <si>
    <t>New description is persisted and displayed; Product ref. and Label are unchanged.</t>
  </si>
  <si>
    <t>EDIT_PRODUCT-04</t>
  </si>
  <si>
    <t>Update selling price to a valid positive value</t>
  </si>
  <si>
    <t>PRE: Own product QA23130250-U04-[RUN] exists with Selling price = 100.00 under the current tax mode.
1. Open product &gt; MODIFY (or relevant Selling prices edit control).
2. Change Selling price to 149.50 without changing tax mode.
3. Save and revisit pricing.</t>
  </si>
  <si>
    <t>The saved selling price is 149.50 in the same tax mode; reference, label and other unrelated fields remain intact.</t>
  </si>
  <si>
    <t>EDIT_PRODUCT-05</t>
  </si>
  <si>
    <t>Change Sell status of an existing product</t>
  </si>
  <si>
    <t>PRE: Own product QA23130250-U05-[RUN] exists with Status (Sell) = For sale; an alternative is available.
1. Open product &gt; MODIFY.
2. Change Status (Sell) to a different available value.
3. Save; check the badge in details/list.</t>
  </si>
  <si>
    <t>Selected Sell status is persisted and shown correctly; Purchase status does not change unexpectedly.</t>
  </si>
  <si>
    <t>EDIT_PRODUCT-06</t>
  </si>
  <si>
    <t>Reject clearing required Label during an update</t>
  </si>
  <si>
    <t>PRE: Own product QA23130250-U06-[RUN] exists with Label = Keep This Label.
1. Open MODIFY.
2. Clear Label completely.
3. Save; observe validation.
4. Reload details and verify original label.</t>
  </si>
  <si>
    <t>An empty required Label is not saved; the previously stored valid Label remains unchanged.</t>
  </si>
  <si>
    <t>EDIT_PRODU
CT_07</t>
  </si>
  <si>
    <t>Cancel changes in product edit form</t>
  </si>
  <si>
    <t>PRE: Own product QA23130250-U07-[RUN] exists with Label = Original Label U07.
1. Open MODIFY.
2. Change Label to Should Not Save U07.
3. Click CANCEL (if edit form offers it) or navigate back without saving.
4. Reload details.</t>
  </si>
  <si>
    <t>The unsaved change is discarded; Label remains Original Label U07 after reload.</t>
  </si>
  <si>
    <t>DELETE_PRODUCT</t>
  </si>
  <si>
    <t>DELETE_PRODUCT-01</t>
  </si>
  <si>
    <t>Check deletion requires an explicit confirmation step</t>
  </si>
  <si>
    <t>PRE: Own disposable product QA23130250-D01-[RUN] exists and has no known linked records.
1. Open its detail page.
2. Click DELETE.
3. Examine the confirmation screen/dialog without accepting deletion.</t>
  </si>
  <si>
    <t>A clear confirmation action is available before deletion; the product still exists until confirmation. Confirm actual behavior on the demo.</t>
  </si>
  <si>
    <t>DELETE_PRODUCT-02</t>
  </si>
  <si>
    <t>Cancel the delete operation and preserve the product</t>
  </si>
  <si>
    <t>PRE: Own product QA23130250-D02-[RUN] exists.
1. Open its details and click DELETE.
2. Choose No/Cancel on the deletion confirmation (if offered).
3. Return to Products &gt; List; search by reference.</t>
  </si>
  <si>
    <t>Deletion is not carried out; the product remains searchable and its details are unchanged.</t>
  </si>
  <si>
    <t>DELETE_PRODUCT-03</t>
  </si>
  <si>
    <t>Delete one disposable product and verify removal</t>
  </si>
  <si>
    <t>PRE: Own disposable unlinked product QA23130250-D03-[RUN] exists; deletion permission verified.
1. Open product details.
2. Click DELETE and confirm the operation using the provided control.
3. Return to Products &gt; List; search exact Product ref.</t>
  </si>
  <si>
    <t>Deletion completes according to the UI; the product no longer appears in exact-reference search.</t>
  </si>
  <si>
    <t>Fixture prepared before execution; own disposable data</t>
  </si>
  <si>
    <t>DELETE_PRODUCT-04</t>
  </si>
  <si>
    <t>Deleting one product does not remove a separate product</t>
  </si>
  <si>
    <t>PRE: Two independent disposable products exist: QA23130250-D04A-[RUN] and QA23130250-D04B-[RUN].
1. Open D04A details and execute confirmed DELETE.
2. Search exact reference D04A, then search exact reference D04B.
3. Open D04B details.</t>
  </si>
  <si>
    <t>Deleted D04A is absent; independently created D04B still exists with its original data intact.</t>
  </si>
  <si>
    <t>Two own disposable fixtures prepared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</si>
  <si>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</si>
  <si>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</si>
  <si>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</si>
  <si>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</si>
  <si>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</si>
  <si>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</si>
  <si>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</si>
  <si>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</si>
  <si>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</si>
  <si>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</si>
  <si>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</si>
  <si>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2. Third Parties</t>
  </si>
  <si>
    <t>2.1 Create</t>
  </si>
  <si>
    <t>Create / Minimum required information</t>
  </si>
  <si>
    <t>Check create a Third Party with required name and one selected role.</t>
  </si>
  <si>
    <t>Create / Optional details</t>
  </si>
  <si>
    <t>Check create a Third Party with optional address and contact fields completed.</t>
  </si>
  <si>
    <t>Required field / Third-party name</t>
  </si>
  <si>
    <t>Check prevent creation when Third-party name is empty.</t>
  </si>
  <si>
    <t>Name / Whitespace input</t>
  </si>
  <si>
    <t>Check how the form validates a whitespace-only Third-party name.</t>
  </si>
  <si>
    <t>New Prospect shortcut</t>
  </si>
  <si>
    <t>Check the New Prospect form preselects and saves the Prospect role.</t>
  </si>
  <si>
    <t>New Customer shortcut</t>
  </si>
  <si>
    <t>Check the New Customer form retains Customer classification after creation.</t>
  </si>
  <si>
    <t>New Vendor shortcut</t>
  </si>
  <si>
    <t>Check the New Vendor form retains Vendor classification after creation.</t>
  </si>
  <si>
    <t>Business roles / Multiple selection</t>
  </si>
  <si>
    <t>Check create a Third Party with supported role combinations.</t>
  </si>
  <si>
    <t>Customer / Vendor codes</t>
  </si>
  <si>
    <t>Check saved Customer Code or Vendor Code matches the selected role.</t>
  </si>
  <si>
    <t>Email / Invalid format</t>
  </si>
  <si>
    <t>Check the form response to a malformed email value when an email is provided.</t>
  </si>
  <si>
    <t>Check cancelling a completed New Third Party form does not save a record.</t>
  </si>
  <si>
    <t>2.2 Read</t>
  </si>
  <si>
    <t>Third Party list / Display</t>
  </si>
  <si>
    <t>Check Third Parties list opens with available records and columns.</t>
  </si>
  <si>
    <t>Search / Third-party name</t>
  </si>
  <si>
    <t>Check locate a prepared Third Party by its exact name.</t>
  </si>
  <si>
    <t>Filter / Business roles</t>
  </si>
  <si>
    <t>Check Prospect, Customer and Vendor filters return matching records.</t>
  </si>
  <si>
    <t>Check the result when a Third Party name does not match any record.</t>
  </si>
  <si>
    <t>Details / Data persistence</t>
  </si>
  <si>
    <t>Check created Third Party details persist after a page refresh.</t>
  </si>
  <si>
    <t>2.3 Update</t>
  </si>
  <si>
    <t>Modify / Edit form</t>
  </si>
  <si>
    <t>Check MODIFY opens the correct Third Party record with its saved values.</t>
  </si>
  <si>
    <t>Update / Third-party name</t>
  </si>
  <si>
    <t>Check update Third-party name and verify the revised name on its details page.</t>
  </si>
  <si>
    <t>Update / Address</t>
  </si>
  <si>
    <t>Check edited address and city are saved without unrelated changes.</t>
  </si>
  <si>
    <t>Update / Business roles</t>
  </si>
  <si>
    <t>Check updated Prospect, Customer or Vendor roles persist.</t>
  </si>
  <si>
    <t>Update / Contact information</t>
  </si>
  <si>
    <t>Check update phone or email and verify saved details after refreshing.</t>
  </si>
  <si>
    <t>Required name / Update</t>
  </si>
  <si>
    <t>Check prevent saving a Third Party with a cleared required name.</t>
  </si>
  <si>
    <t>Cancel modification</t>
  </si>
  <si>
    <t>Check cancel modification without overwriting the existing Third Party data.</t>
  </si>
  <si>
    <t>2.4 Delete</t>
  </si>
  <si>
    <t>Delete / Available action</t>
  </si>
  <si>
    <t>Check DELETE and its confirmation flow for an authorized Third Party.</t>
  </si>
  <si>
    <t>Check cancelling deletion preserves the Third Party record.</t>
  </si>
  <si>
    <t>Delete / Own unlinked data</t>
  </si>
  <si>
    <t>Check delete an authorized disposable Third Party with no dependencies.</t>
  </si>
  <si>
    <t>Delete / Linked data</t>
  </si>
  <si>
    <t>Check deletion restrictions for a linked Third Party, if safe to test.</t>
  </si>
  <si>
    <t>3. Projects</t>
  </si>
  <si>
    <t>3.1 Create</t>
  </si>
  <si>
    <t>Check create a draft with Label and explicitly selected Lead status.</t>
  </si>
  <si>
    <t>Check creation without Label when Lead status is selected.</t>
  </si>
  <si>
    <t>Required selection / Lead status</t>
  </si>
  <si>
    <t>Check prevent creation when Label is filled but Lead status is not selected.</t>
  </si>
  <si>
    <t>Required inputs / Both omitted</t>
  </si>
  <si>
    <t>Check prevent creation when Label and Lead status are both missing.</t>
  </si>
  <si>
    <t>Lead status / Different options</t>
  </si>
  <si>
    <t>Check create a draft using an alternative available Lead status.</t>
  </si>
  <si>
    <t>Financial fields / Valid input</t>
  </si>
  <si>
    <t>Check create a draft with valid Lead amount and Budget values.</t>
  </si>
  <si>
    <t>Financial fields / Invalid input</t>
  </si>
  <si>
    <t>Check how Lead amount and Budget handle nonnumeric text input.</t>
  </si>
  <si>
    <t>Third party / Association</t>
  </si>
  <si>
    <t>Check create a draft linked to a selected Third Party.</t>
  </si>
  <si>
    <t>Usage / Selected options</t>
  </si>
  <si>
    <t>Check save available Usage settings, including Follow opportunity.</t>
  </si>
  <si>
    <t>Check cancelling the New lead or project form does not create a draft.</t>
  </si>
  <si>
    <t>3.2 Read</t>
  </si>
  <si>
    <t>Project list / Display</t>
  </si>
  <si>
    <t>Check the Leads / Projects list shows references, labels and statuses.</t>
  </si>
  <si>
    <t>Search / Project reference</t>
  </si>
  <si>
    <t>Check find a prepared draft by its project Ref.</t>
  </si>
  <si>
    <t>Search / Project label</t>
  </si>
  <si>
    <t>Check search for a prepared project using its Label.</t>
  </si>
  <si>
    <t>Filter / Project status</t>
  </si>
  <si>
    <t>Check filtering by available Draft and Open project status values.</t>
  </si>
  <si>
    <t>Project details / Persistence</t>
  </si>
  <si>
    <t>Check saved project details are retained after reloading the page.</t>
  </si>
  <si>
    <t>3.3 Update</t>
  </si>
  <si>
    <t>Check MODIFY opens the correct project with previously stored values.</t>
  </si>
  <si>
    <t>Update / Project label</t>
  </si>
  <si>
    <t>Check update Label and verify its persistence in project details and list.</t>
  </si>
  <si>
    <t>Update / Lead status</t>
  </si>
  <si>
    <t>Check updated Lead status and displayed probability persist.</t>
  </si>
  <si>
    <t>Update / Lead amount and Budget</t>
  </si>
  <si>
    <t>Check updated Lead amount and Budget retain their saved values.</t>
  </si>
  <si>
    <t>Update / Start and end dates</t>
  </si>
  <si>
    <t>Check saved project dates; test chronology only if a rule is confirmed.</t>
  </si>
  <si>
    <t>Required Label / Update</t>
  </si>
  <si>
    <t>Check prevent clearing the required Label when saving a modification.</t>
  </si>
  <si>
    <t>Check cancelling the edit form preserves the original project data.</t>
  </si>
  <si>
    <t>Validate / Draft status</t>
  </si>
  <si>
    <t>Check VALIDATE for an authorized Draft and verify the new status.</t>
  </si>
  <si>
    <t>3.4 Delete</t>
  </si>
  <si>
    <t>Check DELETE and its confirmation flow for a disposable project.</t>
  </si>
  <si>
    <t>Check cancelling the deletion of a draft preserves the project.</t>
  </si>
  <si>
    <t>Delete / Own draft</t>
  </si>
  <si>
    <t>Check delete an authorized disposable Draft project with no dependent records.</t>
  </si>
  <si>
    <t>Delete / Related records</t>
  </si>
  <si>
    <t>Check deletion restrictions for a project with links, if safe to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</si>
</sst>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"/>
    <numFmt numFmtId="165" formatCode="d\-mmm\-yy"/>
  </numFmts>
  <fonts count="26" x14ac:knownFonts="1">
    <font>
      <sz val="11"/>
      <color rgb="FF000000"/>
      <name val="Calibri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sz val="11"/>
      <color rgb="FF0000FF"/>
      <name val="MS PGothic"/>
    </font>
    <font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theme="1"/>
      <name val="Tahoma"/>
    </font>
    <font>
      <sz val="10"/>
      <color theme="1"/>
      <name val="Calibri"/>
    </font>
    <font>
      <i/>
      <sz val="10"/>
      <color rgb="FF008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4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15" fillId="0" borderId="18" xfId="0" applyNumberFormat="1" applyFont="1" applyFill="1" applyBorder="1" applyAlignment="1">
      <alignment vertical="center" wrapText="1"/>
    </xf>
    <xf numFmtId="0" fontId="16" fillId="0" borderId="5" xfId="0" applyNumberFormat="1" applyFont="1" applyFill="1" applyBorder="1" applyAlignment="1">
      <alignment horizontal="left" vertical="top" wrapText="1"/>
    </xf>
    <xf numFmtId="0" fontId="6" fillId="2" borderId="5" xfId="0" applyNumberFormat="1" applyFont="1" applyFill="1" applyBorder="1" applyAlignment="1">
      <alignment horizontal="left" vertical="top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/>
    <xf numFmtId="0" fontId="1" fillId="2" borderId="5" xfId="0" applyNumberFormat="1" applyFont="1" applyFill="1" applyBorder="1" applyAlignment="1">
      <alignment wrapText="1"/>
    </xf>
    <xf numFmtId="0" fontId="23" fillId="2" borderId="5" xfId="0" applyFont="1" applyFill="1" applyBorder="1" applyAlignment="1">
      <alignment vertical="top" wrapText="1"/>
    </xf>
    <xf numFmtId="0" fontId="1" fillId="2" borderId="5" xfId="0" applyNumberFormat="1" applyFont="1" applyFill="1" applyBorder="1" applyAlignment="1">
      <alignment horizontal="left" vertical="top" wrapText="1"/>
    </xf>
    <xf numFmtId="0" fontId="24" fillId="0" borderId="5" xfId="0" applyNumberFormat="1" applyFont="1" applyFill="1" applyBorder="1" applyAlignment="1">
      <alignment horizontal="left" vertical="top" wrapText="1"/>
    </xf>
    <xf numFmtId="0" fontId="23" fillId="0" borderId="5" xfId="0" applyFont="1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25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  <xf numFmtId="14" fontId="1" fillId="2" borderId="5" xfId="0" applyNumberFormat="1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F7D2C089-A4AA-9644-CABD-2DBA5D893E1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D51535D4-099E-2BDB-F7E1-9C3D95401D2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039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2" displayName="Table_2" ref="A8:H13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8:H12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ogin-Log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12" sqref="G12"/>
    </sheetView>
  </sheetViews>
  <sheetFormatPr defaultColWidth="14.44140625" defaultRowHeight="14.4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8.1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.45" customHeight="1" x14ac:dyDescent="0.3">
      <c r="A2" s="3"/>
      <c r="B2" s="147" t="s">
        <v>0</v>
      </c>
      <c r="C2" s="148"/>
      <c r="D2" s="148"/>
      <c r="E2" s="148"/>
      <c r="F2" s="148"/>
      <c r="G2" s="149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8.1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customHeight="1" x14ac:dyDescent="0.3">
      <c r="A4" s="1"/>
      <c r="B4" s="8" t="s">
        <v>1</v>
      </c>
      <c r="C4" s="150" t="s">
        <v>2</v>
      </c>
      <c r="D4" s="148"/>
      <c r="E4" s="149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8" customHeight="1" x14ac:dyDescent="0.3">
      <c r="A5" s="1"/>
      <c r="B5" s="8" t="s">
        <v>5</v>
      </c>
      <c r="C5" s="151" t="s">
        <v>2</v>
      </c>
      <c r="D5" s="148"/>
      <c r="E5" s="149"/>
      <c r="F5" s="8" t="s">
        <v>6</v>
      </c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050000000000001" customHeight="1" x14ac:dyDescent="0.3">
      <c r="A6" s="1"/>
      <c r="B6" s="152" t="s">
        <v>7</v>
      </c>
      <c r="C6" s="154" t="s">
        <v>8</v>
      </c>
      <c r="D6" s="155"/>
      <c r="E6" s="156"/>
      <c r="F6" s="8" t="s">
        <v>9</v>
      </c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 x14ac:dyDescent="0.3">
      <c r="A7" s="1"/>
      <c r="B7" s="153"/>
      <c r="C7" s="157"/>
      <c r="D7" s="158"/>
      <c r="E7" s="159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8.1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8.1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7.399999999999999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8.1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350000000000001" customHeight="1" x14ac:dyDescent="0.3">
      <c r="A12" s="18"/>
      <c r="B12" s="19" t="s">
        <v>17</v>
      </c>
      <c r="C12" s="20" t="s">
        <v>18</v>
      </c>
      <c r="D12" s="18" t="s">
        <v>19</v>
      </c>
      <c r="E12" s="21" t="s">
        <v>20</v>
      </c>
      <c r="F12" s="21" t="s">
        <v>21</v>
      </c>
      <c r="G12" s="22" t="s">
        <v>22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3.95" customHeight="1" x14ac:dyDescent="0.3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.4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9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2.4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3.9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.4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8.1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8.1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8.1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8.1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8.1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8.1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8.1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8.1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8.1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8.1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8.1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8.1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8.1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8.1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8.1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8.1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8.1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8.1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8.1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8.1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8.1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8.1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8.1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8.1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8.1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8.1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8.1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8.1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8.1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8.1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8.1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8.1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8.1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8.1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8.1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8.1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8.1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8.1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8.1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8.1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8.1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8.1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8.1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8.1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8.1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8.1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8.1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8.1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8.1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8.1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8.1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8.1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8.1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8.1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8.1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8.1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8.1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8.1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8.1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8.1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8.1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8.1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8.1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8.1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8.1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8.1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8.1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8.1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8.1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8.1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8.1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8.1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8.1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8.1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8.1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8.1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8.1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8.1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8.1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8.1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8.1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8.1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8.1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8.1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8.1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8.1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8.1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8.1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8.1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8.1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8.1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8.1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8.1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8.1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8.1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8.1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8.1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8.1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8.1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8.1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8.1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8.1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8.1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8.1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8.1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8.1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8.1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8.1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8.1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8.1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8.1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8.1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8.1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8.1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8.1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8.1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8.1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8.1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8.1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8.1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8.1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8.1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8.1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8.1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8.1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8.1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8.1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8.1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8.1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8.1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8.1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8.1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8.1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8.1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8.1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8.1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8.1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8.1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8.1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8.1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8.1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8.1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8.1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8.1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8.1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8.1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8.1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8.1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8.1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8.1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8.1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8.1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8.1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8.1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8.1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8.1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8.1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8.1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8.1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8.1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8.1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8.1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8.1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8.1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8.1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8.1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8.1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8.1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8.1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8.1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8.1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8.1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8.1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8.1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8.1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8.1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8.1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8.1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8.1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8.1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8.1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8.1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8.1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8.1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8.1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8.1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8.1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8.1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8.1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8.1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8.1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8.1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8.1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8.1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8.1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8.1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8.1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8.1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8.1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8.1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8.1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8.1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8.1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8.1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8.1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8.1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8.1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8.1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8.1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8.1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8.1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8.1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8.1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8.1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8.1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8.1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8.1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8.1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8.1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8.1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8.1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8.1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8.1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8.1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8.1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8.1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8.1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8.1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8.1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8.1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8.1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8.1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8.1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8.1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8.1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8.1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8.1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8.1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8.1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8.1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8.1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8.1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8.1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8.1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8.1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8.1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8.1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8.1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8.1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8.1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8.1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8.1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8.1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8.1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8.1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8.1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8.1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8.1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8.1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8.1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8.1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8.1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8.1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8.1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8.1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8.1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8.1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8.1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8.1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8.1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8.1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8.1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8.1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8.1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8.1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8.1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8.1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8.1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8.1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8.1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8.1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8.1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8.1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8.1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8.1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8.1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8.1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8.1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8.1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8.1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8.1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8.1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8.1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8.1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8.1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8.1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8.1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8.1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8.1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8.1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8.1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8.1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8.1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8.1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8.1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8.1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8.1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8.1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8.1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8.1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8.1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8.1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8.1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8.1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8.1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8.1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8.1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8.1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8.1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8.1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8.1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8.1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8.1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8.1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8.1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8.1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8.1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8.1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8.1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8.1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8.1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8.1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8.1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8.1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8.1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8.1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8.1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8.1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8.1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8.1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8.1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8.1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8.1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8.1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8.1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8.1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8.1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8.1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8.1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8.1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8.1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8.1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8.1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8.1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8.1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8.1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8.1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8.1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8.1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8.1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8.1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8.1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8.1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8.1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8.1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8.1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8.1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8.1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8.1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8.1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8.1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8.1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8.1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8.1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8.1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8.1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8.1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8.1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8.1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8.1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8.1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8.1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8.1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8.1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8.1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8.1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8.1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8.1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8.1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8.1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8.1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8.1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8.1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8.1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8.1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8.1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8.1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8.1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8.1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8.1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8.1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8.1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8.1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8.1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8.1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8.1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8.1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8.1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8.1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8.1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8.1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8.1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8.1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8.1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8.1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8.1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8.1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8.1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8.1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8.1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8.1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8.1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8.1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8.1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8.1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8.1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8.1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8.1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8.1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8.1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8.1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8.1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8.1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8.1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8.1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8.1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8.1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8.1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8.1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8.1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8.1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8.1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8.1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8.1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8.1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8.1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8.1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8.1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8.1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8.1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8.1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8.1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8.1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8.1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8.1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8.1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8.1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8.1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8.1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8.1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8.1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8.1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8.1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8.1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8.1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8.1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8.1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8.1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8.1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8.1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8.1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8.1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8.1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8.1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8.1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8.1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8.1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8.1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8.1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8.1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8.1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8.1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8.1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8.1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8.1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8.1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8.1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8.1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8.1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8.1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8.1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8.1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8.1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8.1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8.1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8.1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8.1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8.1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8.1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8.1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8.1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8.1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8.1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8.1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8.1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8.1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8.1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8.1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8.1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8.1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8.1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8.1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8.1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8.1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8.1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8.1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8.1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8.1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8.1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8.1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8.1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8.1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8.1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8.1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8.1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8.1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8.1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8.1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8.1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8.1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8.1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8.1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8.1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8.1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8.1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8.1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8.1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8.1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8.1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8.1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8.1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8.1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8.1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8.1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8.1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8.1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8.1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8.1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8.1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8.1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8.1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8.1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8.1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8.1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8.1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8.1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8.1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8.1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8.1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8.1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8.1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8.1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8.1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8.1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8.1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8.1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8.1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8.1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8.1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8.1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8.1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8.1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8.1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8.1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8.1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8.1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8.1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8.1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8.1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8.1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8.1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8.1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8.1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8.1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8.1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8.1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8.1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8.1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8.1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8.1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8.1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8.1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8.1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8.1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8.1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8.1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8.1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8.1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8.1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8.1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8.1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8.1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8.1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8.1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8.1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8.1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8.1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8.1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8.1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8.1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8.1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8.1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8.1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8.1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8.1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8.1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8.1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8.1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8.1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8.1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8.1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8.1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8.1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8.1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8.1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8.1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8.1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8.1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8.1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8.1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8.1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8.1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8.1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8.1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8.1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8.1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8.1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8.1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8.1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8.1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8.1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8.1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8.1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8.1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8.1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8.1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8.1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8.1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8.1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8.1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8.1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8.1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8.1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8.1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8.1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8.1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8.1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8.1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8.1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8.1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8.1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8.1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8.1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8.1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8.1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8.1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8.1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8.1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8.1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8.1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8.1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8.1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8.1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8.1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8.1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8.1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8.1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8.1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8.1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8.1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8.1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8.1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8.1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8.1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8.1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8.1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8.1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8.1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8.1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8.1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8.1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8.1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8.1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8.1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8.1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8.1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8.1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8.1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8.1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8.1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8.1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8.1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8.1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8.1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8.1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8.1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8.1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8.1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8.1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8.1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8.1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8.1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8.1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8.1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8.1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8.1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8.1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8.1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8.1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8.1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8.1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8.1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8.1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8.1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8.1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8.1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8.1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8.1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8.1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8.1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8.1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8.1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8.1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8.1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8.1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8.1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8.1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8.1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8.1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8.1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8.1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8.1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8.1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8.1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8.1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8.1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8.1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8.1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8.1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8.1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8.1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8.1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8.1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8.1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8.1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8.1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8.1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8.1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8.1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8.1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8.1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8.1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8.1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8.1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8.1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8.1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8.1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8.1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8.1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8.1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8.1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8.1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8.1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8.1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8.1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8.1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8.1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8.1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8.1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8.1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8.1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8.1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8.1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8.1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8.1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8.1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8.1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8.1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8.1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8.1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8.1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8.1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8.1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8.1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8.1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8.1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8.1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8.1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8.1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8.1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8.1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8.1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8.1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8.1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8.1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8.1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8.1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8.1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8.1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8.1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8.1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8.1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8.1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8.1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8.1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8.1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8.1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8.1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8.1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8.1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8.1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8.1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8.1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8.1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8.1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8.1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8.1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8.1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8.1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8.1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8.1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8.1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8.1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8.1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8.1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8.1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8.1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8.1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8.1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8.1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8.1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8.1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8.1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8.1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8.1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8.1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8.1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8.1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8.1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8.1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8.1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8.1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8.1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8.1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8.1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8.1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8.1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8.1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8.1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8.1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8.1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8.1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8.1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8.1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8.1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8.1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8.1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8.1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8.1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8.1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8.1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8.1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8.1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8.1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8.1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8.1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8.1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8.1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8.1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8.1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8.1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8.1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8.1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8.1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8.1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8.1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8.1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8.1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8.1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8.1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8.1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8.1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8.1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8.1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8.1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8.1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8.1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8.1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8.1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8.1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8.1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8.1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8.1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8.1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8.1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8.1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8.1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8.1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8.1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8.1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8.1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8.1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8.1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8.1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8.1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8.1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8.1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8.1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8.1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8.1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8.1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8.1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8.1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8.1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8.1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8.1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8.1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8.1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8.1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8.1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8.1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8.1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8.1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8.1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8.1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8.1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8.1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8.1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8.1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8.1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8.1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8.1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8.1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8.1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8.1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8.1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8.1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8.1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8.1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8.1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8.1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8.1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8.1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8.1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8.1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8.1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8.1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8.1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8.1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8.1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8.1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8.1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8.1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8.1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8.1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8.1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8.1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8.1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8.1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8.1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8.1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8.1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8.1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8.1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8.1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8.1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8.1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8.1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8.1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8.1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8.1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8.1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1" sqref="C11"/>
    </sheetView>
  </sheetViews>
  <sheetFormatPr defaultColWidth="14.44140625" defaultRowHeight="14.4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50" customWidth="1"/>
    <col min="6" max="6" width="35" customWidth="1"/>
    <col min="7" max="26" width="9.109375" customWidth="1"/>
  </cols>
  <sheetData>
    <row r="1" spans="1:26" ht="16.350000000000001" customHeight="1" x14ac:dyDescent="0.4">
      <c r="A1" s="7"/>
      <c r="B1" s="29"/>
      <c r="C1" s="30"/>
      <c r="D1" s="31" t="s">
        <v>23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8.6999999999999993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6.8" customHeight="1" x14ac:dyDescent="0.3">
      <c r="A3" s="7"/>
      <c r="B3" s="160" t="s">
        <v>1</v>
      </c>
      <c r="C3" s="161"/>
      <c r="D3" s="162" t="str">
        <f>Cover!C4</f>
        <v>DOLIBARR</v>
      </c>
      <c r="E3" s="148"/>
      <c r="F3" s="14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60" t="s">
        <v>5</v>
      </c>
      <c r="C4" s="161"/>
      <c r="D4" s="162" t="str">
        <f>Cover!C5</f>
        <v>DOLIBARR</v>
      </c>
      <c r="E4" s="148"/>
      <c r="F4" s="149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54.3" customHeight="1" x14ac:dyDescent="0.3">
      <c r="A5" s="34"/>
      <c r="B5" s="163" t="s">
        <v>24</v>
      </c>
      <c r="C5" s="149"/>
      <c r="D5" s="164" t="s">
        <v>25</v>
      </c>
      <c r="E5" s="148"/>
      <c r="F5" s="149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8.1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8.1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3.35" customHeight="1" x14ac:dyDescent="0.3">
      <c r="A8" s="39"/>
      <c r="B8" s="40" t="s">
        <v>26</v>
      </c>
      <c r="C8" s="41" t="s">
        <v>27</v>
      </c>
      <c r="D8" s="41" t="s">
        <v>28</v>
      </c>
      <c r="E8" s="42" t="s">
        <v>29</v>
      </c>
      <c r="F8" s="43" t="s">
        <v>30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26.85" customHeight="1" x14ac:dyDescent="0.3">
      <c r="A9" s="7"/>
      <c r="B9" s="44">
        <v>1</v>
      </c>
      <c r="C9" s="45" t="s">
        <v>31</v>
      </c>
      <c r="D9" s="46" t="s">
        <v>31</v>
      </c>
      <c r="E9" s="47" t="s">
        <v>32</v>
      </c>
      <c r="F9" s="139" t="s">
        <v>33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95" customHeight="1" x14ac:dyDescent="0.3">
      <c r="A10" s="7"/>
      <c r="B10" s="44">
        <v>2</v>
      </c>
      <c r="C10" s="45" t="s">
        <v>34</v>
      </c>
      <c r="D10" s="46" t="s">
        <v>35</v>
      </c>
      <c r="E10" s="47" t="s">
        <v>36</v>
      </c>
      <c r="F10" s="139" t="s">
        <v>37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4.9" customHeight="1" x14ac:dyDescent="0.3">
      <c r="A11" s="7"/>
      <c r="B11" s="44">
        <v>3</v>
      </c>
      <c r="C11" s="49" t="s">
        <v>38</v>
      </c>
      <c r="D11" s="47" t="s">
        <v>38</v>
      </c>
      <c r="E11" s="50" t="s">
        <v>39</v>
      </c>
      <c r="F11" s="139" t="s">
        <v>40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8.35" customHeight="1" x14ac:dyDescent="0.3">
      <c r="A12" s="7"/>
      <c r="B12" s="44">
        <v>4</v>
      </c>
      <c r="C12" s="45" t="s">
        <v>41</v>
      </c>
      <c r="D12" s="47" t="s">
        <v>41</v>
      </c>
      <c r="E12" s="47" t="s">
        <v>42</v>
      </c>
      <c r="F12" s="139" t="s">
        <v>43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8.1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8.1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8.1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1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16" workbookViewId="0">
      <selection activeCell="E25" sqref="E25"/>
    </sheetView>
  </sheetViews>
  <sheetFormatPr defaultColWidth="14.44140625" defaultRowHeight="14.4" x14ac:dyDescent="0.3"/>
  <cols>
    <col min="1" max="2" width="17.88671875" customWidth="1"/>
    <col min="3" max="3" width="32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8" customHeight="1" x14ac:dyDescent="0.3">
      <c r="A1" s="55" t="s">
        <v>44</v>
      </c>
      <c r="B1" s="55" t="s">
        <v>45</v>
      </c>
      <c r="C1" s="55" t="s">
        <v>46</v>
      </c>
      <c r="D1" s="55" t="s">
        <v>47</v>
      </c>
      <c r="E1" s="55" t="s">
        <v>48</v>
      </c>
      <c r="F1" s="55" t="s">
        <v>49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8.600000000000001" customHeight="1" x14ac:dyDescent="0.3">
      <c r="A2" s="57" t="s">
        <v>50</v>
      </c>
      <c r="B2" s="57" t="s">
        <v>51</v>
      </c>
      <c r="C2" s="57" t="s">
        <v>52</v>
      </c>
      <c r="D2" s="136" t="s">
        <v>53</v>
      </c>
      <c r="E2" s="59" t="s">
        <v>54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8.600000000000001" customHeight="1" x14ac:dyDescent="0.3">
      <c r="A3" s="61"/>
      <c r="B3" s="61"/>
      <c r="C3" s="61" t="s">
        <v>55</v>
      </c>
      <c r="D3" s="136" t="s">
        <v>56</v>
      </c>
      <c r="E3" s="59" t="s">
        <v>54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8.600000000000001" customHeight="1" x14ac:dyDescent="0.3">
      <c r="A4" s="61"/>
      <c r="B4" s="61"/>
      <c r="C4" s="62" t="s">
        <v>57</v>
      </c>
      <c r="D4" s="136" t="s">
        <v>58</v>
      </c>
      <c r="E4" s="59" t="s">
        <v>54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8.600000000000001" customHeight="1" x14ac:dyDescent="0.3">
      <c r="A5" s="61"/>
      <c r="B5" s="61"/>
      <c r="C5" s="57" t="s">
        <v>59</v>
      </c>
      <c r="D5" s="136" t="s">
        <v>60</v>
      </c>
      <c r="E5" s="59" t="s">
        <v>54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8.600000000000001" customHeight="1" x14ac:dyDescent="0.3">
      <c r="A6" s="61"/>
      <c r="B6" s="61"/>
      <c r="C6" s="61" t="s">
        <v>61</v>
      </c>
      <c r="D6" s="136" t="s">
        <v>62</v>
      </c>
      <c r="E6" s="59" t="s">
        <v>54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8.600000000000001" customHeight="1" x14ac:dyDescent="0.3">
      <c r="A7" s="61"/>
      <c r="B7" s="61"/>
      <c r="C7" s="62" t="s">
        <v>63</v>
      </c>
      <c r="D7" s="136" t="s">
        <v>64</v>
      </c>
      <c r="E7" s="59" t="s">
        <v>54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8.600000000000001" customHeight="1" x14ac:dyDescent="0.3">
      <c r="A8" s="61"/>
      <c r="B8" s="61"/>
      <c r="C8" s="57" t="s">
        <v>65</v>
      </c>
      <c r="D8" s="136" t="s">
        <v>66</v>
      </c>
      <c r="E8" s="59" t="s">
        <v>54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8.600000000000001" customHeight="1" x14ac:dyDescent="0.3">
      <c r="A9" s="61"/>
      <c r="B9" s="61"/>
      <c r="C9" s="61" t="s">
        <v>67</v>
      </c>
      <c r="D9" s="136" t="s">
        <v>68</v>
      </c>
      <c r="E9" s="59" t="s">
        <v>54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8.600000000000001" customHeight="1" x14ac:dyDescent="0.3">
      <c r="A10" s="61"/>
      <c r="B10" s="61"/>
      <c r="C10" s="61" t="s">
        <v>69</v>
      </c>
      <c r="D10" s="136" t="s">
        <v>70</v>
      </c>
      <c r="E10" s="59" t="s">
        <v>54</v>
      </c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8.600000000000001" customHeight="1" x14ac:dyDescent="0.3">
      <c r="A11" s="61"/>
      <c r="B11" s="62"/>
      <c r="C11" s="62" t="s">
        <v>71</v>
      </c>
      <c r="D11" s="136" t="s">
        <v>72</v>
      </c>
      <c r="E11" s="59" t="s">
        <v>54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8.600000000000001" customHeight="1" x14ac:dyDescent="0.3">
      <c r="A12" s="62"/>
      <c r="B12" s="59"/>
      <c r="C12" s="59" t="s">
        <v>73</v>
      </c>
      <c r="D12" s="136" t="s">
        <v>74</v>
      </c>
      <c r="E12" s="59" t="s">
        <v>54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8.600000000000001" customHeight="1" x14ac:dyDescent="0.3">
      <c r="A13" s="57"/>
      <c r="B13" s="57" t="s">
        <v>75</v>
      </c>
      <c r="C13" s="57" t="s">
        <v>76</v>
      </c>
      <c r="D13" s="136" t="s">
        <v>77</v>
      </c>
      <c r="E13" s="59" t="s">
        <v>78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8.600000000000001" customHeight="1" x14ac:dyDescent="0.3">
      <c r="A14" s="61"/>
      <c r="B14" s="61"/>
      <c r="C14" s="61" t="s">
        <v>79</v>
      </c>
      <c r="D14" s="136" t="s">
        <v>80</v>
      </c>
      <c r="E14" s="59" t="s">
        <v>54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8.600000000000001" customHeight="1" x14ac:dyDescent="0.3">
      <c r="A15" s="61"/>
      <c r="B15" s="61"/>
      <c r="C15" s="61" t="s">
        <v>81</v>
      </c>
      <c r="D15" s="136" t="s">
        <v>82</v>
      </c>
      <c r="E15" s="59" t="s">
        <v>54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8.600000000000001" customHeight="1" x14ac:dyDescent="0.3">
      <c r="A16" s="61"/>
      <c r="B16" s="61"/>
      <c r="C16" s="62" t="s">
        <v>83</v>
      </c>
      <c r="D16" s="136" t="s">
        <v>84</v>
      </c>
      <c r="E16" s="59" t="s">
        <v>54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8.600000000000001" customHeight="1" x14ac:dyDescent="0.3">
      <c r="A17" s="61"/>
      <c r="B17" s="61"/>
      <c r="C17" s="57" t="s">
        <v>85</v>
      </c>
      <c r="D17" s="136" t="s">
        <v>86</v>
      </c>
      <c r="E17" s="59" t="s">
        <v>54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8.600000000000001" customHeight="1" x14ac:dyDescent="0.3">
      <c r="A18" s="61"/>
      <c r="B18" s="61" t="s">
        <v>87</v>
      </c>
      <c r="C18" s="61" t="s">
        <v>88</v>
      </c>
      <c r="D18" s="136" t="s">
        <v>89</v>
      </c>
      <c r="E18" s="59" t="s">
        <v>78</v>
      </c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8.600000000000001" customHeight="1" x14ac:dyDescent="0.3">
      <c r="A19" s="61"/>
      <c r="B19" s="61"/>
      <c r="C19" s="61" t="s">
        <v>90</v>
      </c>
      <c r="D19" s="136" t="s">
        <v>91</v>
      </c>
      <c r="E19" s="59" t="s">
        <v>54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8.600000000000001" customHeight="1" x14ac:dyDescent="0.3">
      <c r="A20" s="61"/>
      <c r="B20" s="61"/>
      <c r="C20" s="61" t="s">
        <v>92</v>
      </c>
      <c r="D20" s="136" t="s">
        <v>93</v>
      </c>
      <c r="E20" s="59" t="s">
        <v>54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8.600000000000001" customHeight="1" x14ac:dyDescent="0.3">
      <c r="A21" s="61"/>
      <c r="B21" s="61"/>
      <c r="C21" s="61" t="s">
        <v>94</v>
      </c>
      <c r="D21" s="136" t="s">
        <v>95</v>
      </c>
      <c r="E21" s="59" t="s">
        <v>54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8.600000000000001" customHeight="1" x14ac:dyDescent="0.3">
      <c r="A22" s="61"/>
      <c r="B22" s="61"/>
      <c r="C22" s="61" t="s">
        <v>96</v>
      </c>
      <c r="D22" s="136" t="s">
        <v>97</v>
      </c>
      <c r="E22" s="59" t="s">
        <v>54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8.600000000000001" customHeight="1" x14ac:dyDescent="0.3">
      <c r="A23" s="61"/>
      <c r="B23" s="61"/>
      <c r="C23" s="61" t="s">
        <v>98</v>
      </c>
      <c r="D23" s="136" t="s">
        <v>99</v>
      </c>
      <c r="E23" s="59" t="s">
        <v>54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8.600000000000001" customHeight="1" x14ac:dyDescent="0.3">
      <c r="A24" s="61"/>
      <c r="B24" s="61"/>
      <c r="C24" s="62" t="s">
        <v>100</v>
      </c>
      <c r="D24" s="136" t="s">
        <v>101</v>
      </c>
      <c r="E24" s="59" t="s">
        <v>54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8.600000000000001" customHeight="1" x14ac:dyDescent="0.3">
      <c r="A25" s="61"/>
      <c r="B25" s="61" t="s">
        <v>102</v>
      </c>
      <c r="C25" s="57" t="s">
        <v>103</v>
      </c>
      <c r="D25" s="136" t="s">
        <v>104</v>
      </c>
      <c r="E25" s="59" t="s">
        <v>78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8.600000000000001" customHeight="1" x14ac:dyDescent="0.3">
      <c r="A26" s="61"/>
      <c r="B26" s="61"/>
      <c r="C26" s="61" t="s">
        <v>105</v>
      </c>
      <c r="D26" s="136" t="s">
        <v>106</v>
      </c>
      <c r="E26" s="59" t="s">
        <v>54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8.600000000000001" customHeight="1" x14ac:dyDescent="0.3">
      <c r="A27" s="61"/>
      <c r="B27" s="61"/>
      <c r="C27" s="61" t="s">
        <v>107</v>
      </c>
      <c r="D27" s="136" t="s">
        <v>108</v>
      </c>
      <c r="E27" s="59" t="s">
        <v>54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8.600000000000001" customHeight="1" x14ac:dyDescent="0.3">
      <c r="A28" s="61"/>
      <c r="B28" s="61"/>
      <c r="C28" s="61" t="s">
        <v>109</v>
      </c>
      <c r="D28" s="136" t="s">
        <v>110</v>
      </c>
      <c r="E28" s="59" t="s">
        <v>54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8.600000000000001" customHeight="1" x14ac:dyDescent="0.3">
      <c r="A29" s="61" t="s">
        <v>253</v>
      </c>
      <c r="B29" s="61" t="s">
        <v>254</v>
      </c>
      <c r="C29" s="62" t="s">
        <v>255</v>
      </c>
      <c r="D29" s="58" t="s">
        <v>256</v>
      </c>
      <c r="E29" s="59" t="s">
        <v>54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27.6" customHeight="1" x14ac:dyDescent="0.3">
      <c r="A30" s="61"/>
      <c r="B30" s="61"/>
      <c r="C30" s="57" t="s">
        <v>257</v>
      </c>
      <c r="D30" s="58" t="s">
        <v>258</v>
      </c>
      <c r="E30" s="59" t="s">
        <v>54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8.600000000000001" customHeight="1" x14ac:dyDescent="0.3">
      <c r="A31" s="61"/>
      <c r="B31" s="61"/>
      <c r="C31" s="61" t="s">
        <v>259</v>
      </c>
      <c r="D31" s="58" t="s">
        <v>260</v>
      </c>
      <c r="E31" s="59" t="s">
        <v>54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8.600000000000001" customHeight="1" x14ac:dyDescent="0.3">
      <c r="A32" s="61"/>
      <c r="B32" s="61"/>
      <c r="C32" s="61" t="s">
        <v>261</v>
      </c>
      <c r="D32" s="58" t="s">
        <v>262</v>
      </c>
      <c r="E32" s="59" t="s">
        <v>54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8.600000000000001" customHeight="1" x14ac:dyDescent="0.3">
      <c r="A33" s="61"/>
      <c r="B33" s="61"/>
      <c r="C33" s="62" t="s">
        <v>263</v>
      </c>
      <c r="D33" s="58" t="s">
        <v>264</v>
      </c>
      <c r="E33" s="59" t="s">
        <v>54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28.8" customHeight="1" x14ac:dyDescent="0.3">
      <c r="A34" s="61"/>
      <c r="B34" s="61"/>
      <c r="C34" s="57" t="s">
        <v>265</v>
      </c>
      <c r="D34" s="58" t="s">
        <v>266</v>
      </c>
      <c r="E34" s="59" t="s">
        <v>54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8.600000000000001" customHeight="1" x14ac:dyDescent="0.3">
      <c r="A35" s="61"/>
      <c r="B35" s="61"/>
      <c r="C35" s="61" t="s">
        <v>267</v>
      </c>
      <c r="D35" s="58" t="s">
        <v>268</v>
      </c>
      <c r="E35" s="59" t="s">
        <v>54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8.600000000000001" customHeight="1" x14ac:dyDescent="0.3">
      <c r="A36" s="61"/>
      <c r="B36" s="62"/>
      <c r="C36" s="62" t="s">
        <v>269</v>
      </c>
      <c r="D36" s="58" t="s">
        <v>270</v>
      </c>
      <c r="E36" s="59" t="s">
        <v>54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8.600000000000001" customHeight="1" x14ac:dyDescent="0.3">
      <c r="A37" s="61"/>
      <c r="B37" s="57"/>
      <c r="C37" s="57" t="s">
        <v>271</v>
      </c>
      <c r="D37" s="58" t="s">
        <v>272</v>
      </c>
      <c r="E37" s="58" t="s">
        <v>54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29.4" customHeight="1" x14ac:dyDescent="0.3">
      <c r="A38" s="61"/>
      <c r="B38" s="61"/>
      <c r="C38" s="61" t="s">
        <v>273</v>
      </c>
      <c r="D38" s="58" t="s">
        <v>274</v>
      </c>
      <c r="E38" s="58" t="s">
        <v>54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33.6" customHeight="1" x14ac:dyDescent="0.3">
      <c r="A39" s="61"/>
      <c r="B39" s="61"/>
      <c r="C39" s="61" t="s">
        <v>73</v>
      </c>
      <c r="D39" s="58" t="s">
        <v>275</v>
      </c>
      <c r="E39" s="58" t="s">
        <v>54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8.600000000000001" customHeight="1" x14ac:dyDescent="0.3">
      <c r="A40" s="61"/>
      <c r="B40" s="61" t="s">
        <v>276</v>
      </c>
      <c r="C40" s="62" t="s">
        <v>277</v>
      </c>
      <c r="D40" s="58" t="s">
        <v>278</v>
      </c>
      <c r="E40" s="58" t="s">
        <v>78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8.600000000000001" customHeight="1" x14ac:dyDescent="0.3">
      <c r="A41" s="61"/>
      <c r="B41" s="61"/>
      <c r="C41" s="57" t="s">
        <v>279</v>
      </c>
      <c r="D41" s="58" t="s">
        <v>280</v>
      </c>
      <c r="E41" s="58" t="s">
        <v>54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8.600000000000001" customHeight="1" x14ac:dyDescent="0.3">
      <c r="A42" s="61"/>
      <c r="B42" s="61"/>
      <c r="C42" s="61" t="s">
        <v>281</v>
      </c>
      <c r="D42" s="58" t="s">
        <v>282</v>
      </c>
      <c r="E42" s="58" t="s">
        <v>54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8.600000000000001" customHeight="1" x14ac:dyDescent="0.3">
      <c r="A43" s="61"/>
      <c r="B43" s="61"/>
      <c r="C43" s="61" t="s">
        <v>83</v>
      </c>
      <c r="D43" s="58" t="s">
        <v>283</v>
      </c>
      <c r="E43" s="58" t="s">
        <v>54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8.600000000000001" customHeight="1" x14ac:dyDescent="0.3">
      <c r="A44" s="61"/>
      <c r="B44" s="61"/>
      <c r="C44" s="61" t="s">
        <v>284</v>
      </c>
      <c r="D44" s="58" t="s">
        <v>285</v>
      </c>
      <c r="E44" s="58" t="s">
        <v>54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30" customHeight="1" x14ac:dyDescent="0.3">
      <c r="A45" s="61"/>
      <c r="B45" s="61" t="s">
        <v>286</v>
      </c>
      <c r="C45" s="61" t="s">
        <v>287</v>
      </c>
      <c r="D45" s="58" t="s">
        <v>288</v>
      </c>
      <c r="E45" s="58" t="s">
        <v>78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30" customHeight="1" x14ac:dyDescent="0.3">
      <c r="A46" s="61"/>
      <c r="B46" s="61"/>
      <c r="C46" s="62" t="s">
        <v>289</v>
      </c>
      <c r="D46" s="58" t="s">
        <v>290</v>
      </c>
      <c r="E46" s="58" t="s">
        <v>54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8.600000000000001" customHeight="1" x14ac:dyDescent="0.3">
      <c r="A47" s="61"/>
      <c r="B47" s="61"/>
      <c r="C47" s="59" t="s">
        <v>291</v>
      </c>
      <c r="D47" s="58" t="s">
        <v>292</v>
      </c>
      <c r="E47" s="58" t="s">
        <v>54</v>
      </c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8.600000000000001" customHeight="1" x14ac:dyDescent="0.3">
      <c r="A48" s="61"/>
      <c r="B48" s="61"/>
      <c r="C48" s="57" t="s">
        <v>293</v>
      </c>
      <c r="D48" s="63" t="s">
        <v>294</v>
      </c>
      <c r="E48" s="58" t="s">
        <v>54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8.600000000000001" customHeight="1" x14ac:dyDescent="0.3">
      <c r="A49" s="61"/>
      <c r="B49" s="61"/>
      <c r="C49" s="61" t="s">
        <v>295</v>
      </c>
      <c r="D49" s="58" t="s">
        <v>296</v>
      </c>
      <c r="E49" s="58" t="s">
        <v>54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8.600000000000001" customHeight="1" x14ac:dyDescent="0.3">
      <c r="A50" s="61"/>
      <c r="B50" s="61"/>
      <c r="C50" s="62" t="s">
        <v>297</v>
      </c>
      <c r="D50" s="58" t="s">
        <v>298</v>
      </c>
      <c r="E50" s="58" t="s">
        <v>54</v>
      </c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8.600000000000001" customHeight="1" x14ac:dyDescent="0.3">
      <c r="A51" s="61"/>
      <c r="B51" s="61"/>
      <c r="C51" s="57" t="s">
        <v>299</v>
      </c>
      <c r="D51" s="63" t="s">
        <v>300</v>
      </c>
      <c r="E51" s="58" t="s">
        <v>54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8.600000000000001" customHeight="1" x14ac:dyDescent="0.3">
      <c r="A52" s="61"/>
      <c r="B52" s="61" t="s">
        <v>301</v>
      </c>
      <c r="C52" s="61" t="s">
        <v>302</v>
      </c>
      <c r="D52" s="58" t="s">
        <v>303</v>
      </c>
      <c r="E52" s="58" t="s">
        <v>78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8.600000000000001" customHeight="1" x14ac:dyDescent="0.3">
      <c r="A53" s="61"/>
      <c r="B53" s="61"/>
      <c r="C53" s="61" t="s">
        <v>105</v>
      </c>
      <c r="D53" s="58" t="s">
        <v>304</v>
      </c>
      <c r="E53" s="58" t="s">
        <v>54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28.2" customHeight="1" x14ac:dyDescent="0.3">
      <c r="A54" s="61"/>
      <c r="B54" s="61"/>
      <c r="C54" s="62" t="s">
        <v>305</v>
      </c>
      <c r="D54" s="58" t="s">
        <v>306</v>
      </c>
      <c r="E54" s="58" t="s">
        <v>54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8.600000000000001" customHeight="1" x14ac:dyDescent="0.3">
      <c r="A55" s="61"/>
      <c r="B55" s="61"/>
      <c r="C55" s="57" t="s">
        <v>307</v>
      </c>
      <c r="D55" s="58" t="s">
        <v>308</v>
      </c>
      <c r="E55" s="58" t="s">
        <v>54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8.600000000000001" customHeight="1" x14ac:dyDescent="0.3">
      <c r="A56" s="61" t="s">
        <v>309</v>
      </c>
      <c r="B56" s="61" t="s">
        <v>310</v>
      </c>
      <c r="C56" s="61" t="s">
        <v>255</v>
      </c>
      <c r="D56" s="58" t="s">
        <v>311</v>
      </c>
      <c r="E56" s="58" t="s">
        <v>54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8.600000000000001" customHeight="1" x14ac:dyDescent="0.3">
      <c r="A57" s="61"/>
      <c r="B57" s="61"/>
      <c r="C57" s="62" t="s">
        <v>59</v>
      </c>
      <c r="D57" s="58" t="s">
        <v>312</v>
      </c>
      <c r="E57" s="58" t="s">
        <v>54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31.8" customHeight="1" x14ac:dyDescent="0.3">
      <c r="A58" s="61"/>
      <c r="B58" s="61"/>
      <c r="C58" s="59" t="s">
        <v>313</v>
      </c>
      <c r="D58" s="58" t="s">
        <v>314</v>
      </c>
      <c r="E58" s="58" t="s">
        <v>54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8.600000000000001" customHeight="1" x14ac:dyDescent="0.3">
      <c r="A59" s="61"/>
      <c r="B59" s="61"/>
      <c r="C59" s="57" t="s">
        <v>315</v>
      </c>
      <c r="D59" s="58" t="s">
        <v>316</v>
      </c>
      <c r="E59" s="58" t="s">
        <v>54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8.600000000000001" customHeight="1" x14ac:dyDescent="0.3">
      <c r="A60" s="61"/>
      <c r="B60" s="61"/>
      <c r="C60" s="62" t="s">
        <v>317</v>
      </c>
      <c r="D60" s="58" t="s">
        <v>318</v>
      </c>
      <c r="E60" s="58" t="s">
        <v>54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8.600000000000001" customHeight="1" x14ac:dyDescent="0.3">
      <c r="A61" s="61"/>
      <c r="B61" s="61"/>
      <c r="C61" s="57" t="s">
        <v>319</v>
      </c>
      <c r="D61" s="58" t="s">
        <v>320</v>
      </c>
      <c r="E61" s="58" t="s">
        <v>54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8.600000000000001" customHeight="1" x14ac:dyDescent="0.3">
      <c r="A62" s="61"/>
      <c r="B62" s="61"/>
      <c r="C62" s="61" t="s">
        <v>321</v>
      </c>
      <c r="D62" s="58" t="s">
        <v>322</v>
      </c>
      <c r="E62" s="58" t="s">
        <v>54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8.600000000000001" customHeight="1" x14ac:dyDescent="0.3">
      <c r="A63" s="61"/>
      <c r="B63" s="61"/>
      <c r="C63" s="62" t="s">
        <v>323</v>
      </c>
      <c r="D63" s="58" t="s">
        <v>324</v>
      </c>
      <c r="E63" s="58" t="s">
        <v>54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8.600000000000001" customHeight="1" x14ac:dyDescent="0.3">
      <c r="A64" s="61"/>
      <c r="B64" s="61"/>
      <c r="C64" s="57" t="s">
        <v>325</v>
      </c>
      <c r="D64" s="58" t="s">
        <v>326</v>
      </c>
      <c r="E64" s="58" t="s">
        <v>54</v>
      </c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8.600000000000001" customHeight="1" x14ac:dyDescent="0.3">
      <c r="A65" s="61"/>
      <c r="B65" s="61"/>
      <c r="C65" s="61" t="s">
        <v>73</v>
      </c>
      <c r="D65" s="58" t="s">
        <v>327</v>
      </c>
      <c r="E65" s="58" t="s">
        <v>54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8.600000000000001" customHeight="1" x14ac:dyDescent="0.3">
      <c r="A66" s="61"/>
      <c r="B66" s="62" t="s">
        <v>328</v>
      </c>
      <c r="C66" s="62" t="s">
        <v>329</v>
      </c>
      <c r="D66" s="58" t="s">
        <v>330</v>
      </c>
      <c r="E66" s="58" t="s">
        <v>78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8.600000000000001" customHeight="1" x14ac:dyDescent="0.3">
      <c r="A67" s="61"/>
      <c r="B67" s="57"/>
      <c r="C67" s="57" t="s">
        <v>331</v>
      </c>
      <c r="D67" s="58" t="s">
        <v>332</v>
      </c>
      <c r="E67" s="58" t="s">
        <v>54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8.600000000000001" customHeight="1" x14ac:dyDescent="0.3">
      <c r="A68" s="61"/>
      <c r="B68" s="61"/>
      <c r="C68" s="61" t="s">
        <v>333</v>
      </c>
      <c r="D68" s="58" t="s">
        <v>334</v>
      </c>
      <c r="E68" s="58" t="s">
        <v>54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8.600000000000001" customHeight="1" x14ac:dyDescent="0.3">
      <c r="A69" s="61"/>
      <c r="B69" s="61"/>
      <c r="C69" s="61" t="s">
        <v>335</v>
      </c>
      <c r="D69" s="58" t="s">
        <v>336</v>
      </c>
      <c r="E69" s="58" t="s">
        <v>54</v>
      </c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8.600000000000001" customHeight="1" x14ac:dyDescent="0.3">
      <c r="A70" s="61"/>
      <c r="B70" s="61"/>
      <c r="C70" s="61" t="s">
        <v>337</v>
      </c>
      <c r="D70" s="58" t="s">
        <v>338</v>
      </c>
      <c r="E70" s="58" t="s">
        <v>54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8.600000000000001" customHeight="1" x14ac:dyDescent="0.3">
      <c r="A71" s="61"/>
      <c r="B71" s="61" t="s">
        <v>339</v>
      </c>
      <c r="C71" s="61" t="s">
        <v>287</v>
      </c>
      <c r="D71" s="58" t="s">
        <v>340</v>
      </c>
      <c r="E71" s="58" t="s">
        <v>78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8.600000000000001" customHeight="1" x14ac:dyDescent="0.3">
      <c r="A72" s="61"/>
      <c r="B72" s="61"/>
      <c r="C72" s="61" t="s">
        <v>341</v>
      </c>
      <c r="D72" s="58" t="s">
        <v>342</v>
      </c>
      <c r="E72" s="58" t="s">
        <v>54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8.600000000000001" customHeight="1" x14ac:dyDescent="0.3">
      <c r="A73" s="61"/>
      <c r="B73" s="61"/>
      <c r="C73" s="61" t="s">
        <v>343</v>
      </c>
      <c r="D73" s="58" t="s">
        <v>344</v>
      </c>
      <c r="E73" s="58" t="s">
        <v>54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8.600000000000001" customHeight="1" x14ac:dyDescent="0.3">
      <c r="A74" s="61"/>
      <c r="B74" s="61"/>
      <c r="C74" s="61" t="s">
        <v>345</v>
      </c>
      <c r="D74" s="58" t="s">
        <v>346</v>
      </c>
      <c r="E74" s="58" t="s">
        <v>54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8.600000000000001" customHeight="1" x14ac:dyDescent="0.3">
      <c r="A75" s="61"/>
      <c r="B75" s="61"/>
      <c r="C75" s="62" t="s">
        <v>347</v>
      </c>
      <c r="D75" s="58" t="s">
        <v>348</v>
      </c>
      <c r="E75" s="58" t="s">
        <v>54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8.600000000000001" customHeight="1" x14ac:dyDescent="0.3">
      <c r="A76" s="61"/>
      <c r="B76" s="61"/>
      <c r="C76" s="57" t="s">
        <v>349</v>
      </c>
      <c r="D76" s="58" t="s">
        <v>350</v>
      </c>
      <c r="E76" s="58" t="s">
        <v>54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8.600000000000001" customHeight="1" x14ac:dyDescent="0.3">
      <c r="A77" s="61"/>
      <c r="B77" s="61"/>
      <c r="C77" s="61" t="s">
        <v>299</v>
      </c>
      <c r="D77" s="58" t="s">
        <v>351</v>
      </c>
      <c r="E77" s="58" t="s">
        <v>54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8.600000000000001" customHeight="1" x14ac:dyDescent="0.3">
      <c r="A78" s="61"/>
      <c r="B78" s="61"/>
      <c r="C78" s="61" t="s">
        <v>352</v>
      </c>
      <c r="D78" s="58" t="s">
        <v>353</v>
      </c>
      <c r="E78" s="58" t="s">
        <v>54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8.600000000000001" customHeight="1" x14ac:dyDescent="0.3">
      <c r="A79" s="61"/>
      <c r="B79" s="61" t="s">
        <v>354</v>
      </c>
      <c r="C79" s="62" t="s">
        <v>302</v>
      </c>
      <c r="D79" s="58" t="s">
        <v>355</v>
      </c>
      <c r="E79" s="58" t="s">
        <v>78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8.600000000000001" customHeight="1" x14ac:dyDescent="0.3">
      <c r="A80" s="61"/>
      <c r="B80" s="61"/>
      <c r="C80" s="57" t="s">
        <v>105</v>
      </c>
      <c r="D80" s="58" t="s">
        <v>356</v>
      </c>
      <c r="E80" s="58" t="s">
        <v>54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34.799999999999997" customHeight="1" x14ac:dyDescent="0.3">
      <c r="A81" s="61"/>
      <c r="B81" s="61"/>
      <c r="C81" s="61" t="s">
        <v>357</v>
      </c>
      <c r="D81" s="58" t="s">
        <v>358</v>
      </c>
      <c r="E81" s="58" t="s">
        <v>54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8.600000000000001" customHeight="1" x14ac:dyDescent="0.3">
      <c r="A82" s="61"/>
      <c r="B82" s="61"/>
      <c r="C82" s="61" t="s">
        <v>359</v>
      </c>
      <c r="D82" s="58" t="s">
        <v>360</v>
      </c>
      <c r="E82" s="58" t="s">
        <v>54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8.1" customHeight="1" x14ac:dyDescent="0.3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6.350000000000001" customHeight="1" x14ac:dyDescent="0.3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6.350000000000001" customHeight="1" x14ac:dyDescent="0.3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6.350000000000001" customHeight="1" x14ac:dyDescent="0.3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8.1" customHeight="1" x14ac:dyDescent="0.3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8.1" customHeight="1" x14ac:dyDescent="0.3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8.1" customHeight="1" x14ac:dyDescent="0.3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6.350000000000001" customHeight="1" x14ac:dyDescent="0.3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8.1" customHeight="1" x14ac:dyDescent="0.3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8.1" customHeight="1" x14ac:dyDescent="0.3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8.1" customHeight="1" x14ac:dyDescent="0.3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8.1" customHeight="1" x14ac:dyDescent="0.3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8.1" customHeight="1" x14ac:dyDescent="0.3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8.1" customHeight="1" x14ac:dyDescent="0.3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8.1" customHeight="1" x14ac:dyDescent="0.3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8.1" customHeight="1" x14ac:dyDescent="0.3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8.1" customHeight="1" x14ac:dyDescent="0.3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8.1" customHeight="1" x14ac:dyDescent="0.3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6.350000000000001" customHeight="1" x14ac:dyDescent="0.3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8.1" customHeight="1" x14ac:dyDescent="0.3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8.1" customHeight="1" x14ac:dyDescent="0.3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8.1" customHeight="1" x14ac:dyDescent="0.3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8.1" customHeight="1" x14ac:dyDescent="0.3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6.350000000000001" customHeight="1" x14ac:dyDescent="0.3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9.6" customHeight="1" x14ac:dyDescent="0.3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9.6" customHeight="1" x14ac:dyDescent="0.3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9.6" customHeight="1" x14ac:dyDescent="0.3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9.6" customHeight="1" x14ac:dyDescent="0.3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9.6" customHeight="1" x14ac:dyDescent="0.3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8.1" customHeight="1" x14ac:dyDescent="0.3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9.6" customHeight="1" x14ac:dyDescent="0.3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9.6" customHeight="1" x14ac:dyDescent="0.3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6.350000000000001" customHeight="1" x14ac:dyDescent="0.3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6.350000000000001" customHeight="1" x14ac:dyDescent="0.3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8.1" customHeight="1" x14ac:dyDescent="0.3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9.6" customHeight="1" x14ac:dyDescent="0.3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9.6" customHeight="1" x14ac:dyDescent="0.3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9.6" customHeight="1" x14ac:dyDescent="0.3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9.6" customHeight="1" x14ac:dyDescent="0.3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8.1" customHeight="1" x14ac:dyDescent="0.3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8.1" customHeight="1" x14ac:dyDescent="0.3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8.1" customHeight="1" x14ac:dyDescent="0.3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8.1" customHeight="1" x14ac:dyDescent="0.3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8.1" customHeight="1" x14ac:dyDescent="0.3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8.1" customHeight="1" x14ac:dyDescent="0.3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8.1" customHeight="1" x14ac:dyDescent="0.3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8.1" customHeight="1" x14ac:dyDescent="0.3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8.1" customHeight="1" x14ac:dyDescent="0.3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8.1" customHeight="1" x14ac:dyDescent="0.3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8.1" customHeight="1" x14ac:dyDescent="0.3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8.1" customHeight="1" x14ac:dyDescent="0.3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8.1" customHeight="1" x14ac:dyDescent="0.3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8.1" customHeight="1" x14ac:dyDescent="0.3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8.1" customHeight="1" x14ac:dyDescent="0.3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8.1" customHeight="1" x14ac:dyDescent="0.3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8.1" customHeight="1" x14ac:dyDescent="0.3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8.1" customHeight="1" x14ac:dyDescent="0.3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8.1" customHeight="1" x14ac:dyDescent="0.3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8.1" customHeight="1" x14ac:dyDescent="0.3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8.1" customHeight="1" x14ac:dyDescent="0.3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8.1" customHeight="1" x14ac:dyDescent="0.3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8.1" customHeight="1" x14ac:dyDescent="0.3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8.1" customHeight="1" x14ac:dyDescent="0.3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8.1" customHeight="1" x14ac:dyDescent="0.3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6.350000000000001" customHeight="1" x14ac:dyDescent="0.3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8.1" customHeight="1" x14ac:dyDescent="0.3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8.1" customHeight="1" x14ac:dyDescent="0.3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8.1" customHeight="1" x14ac:dyDescent="0.3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8.1" customHeight="1" x14ac:dyDescent="0.3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24.45" customHeight="1" x14ac:dyDescent="0.3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9.6" customHeight="1" x14ac:dyDescent="0.3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9.6" customHeight="1" x14ac:dyDescent="0.3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9.6" customHeight="1" x14ac:dyDescent="0.3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9.6" customHeight="1" x14ac:dyDescent="0.3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9.6" customHeight="1" x14ac:dyDescent="0.3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6.350000000000001" customHeight="1" x14ac:dyDescent="0.3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9.6" customHeight="1" x14ac:dyDescent="0.3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9.6" customHeight="1" x14ac:dyDescent="0.3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9.6" customHeight="1" x14ac:dyDescent="0.3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9.6" customHeight="1" x14ac:dyDescent="0.3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6.350000000000001" customHeight="1" x14ac:dyDescent="0.3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6.350000000000001" customHeight="1" x14ac:dyDescent="0.3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9.6" customHeight="1" x14ac:dyDescent="0.3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9.6" customHeight="1" x14ac:dyDescent="0.3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9.6" customHeight="1" x14ac:dyDescent="0.3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9.6" customHeight="1" x14ac:dyDescent="0.3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9.6" customHeight="1" x14ac:dyDescent="0.3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9.6" customHeight="1" x14ac:dyDescent="0.3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8.1" customHeight="1" x14ac:dyDescent="0.3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6.350000000000001" customHeight="1" x14ac:dyDescent="0.3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8.1" customHeight="1" x14ac:dyDescent="0.3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8.1" customHeight="1" x14ac:dyDescent="0.3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8.1" customHeight="1" x14ac:dyDescent="0.3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8.1" customHeight="1" x14ac:dyDescent="0.3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8.1" customHeight="1" x14ac:dyDescent="0.3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8.1" customHeight="1" x14ac:dyDescent="0.3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8.1" customHeight="1" x14ac:dyDescent="0.3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8.1" customHeight="1" x14ac:dyDescent="0.3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8.1" customHeight="1" x14ac:dyDescent="0.3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8.1" customHeight="1" x14ac:dyDescent="0.3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8.1" customHeight="1" x14ac:dyDescent="0.3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8.1" customHeight="1" x14ac:dyDescent="0.3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8.1" customHeight="1" x14ac:dyDescent="0.3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8.1" customHeight="1" x14ac:dyDescent="0.3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8.1" customHeight="1" x14ac:dyDescent="0.3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8.1" customHeight="1" x14ac:dyDescent="0.3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8.1" customHeight="1" x14ac:dyDescent="0.3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8.1" customHeight="1" x14ac:dyDescent="0.3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8.1" customHeight="1" x14ac:dyDescent="0.3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8.1" customHeight="1" x14ac:dyDescent="0.3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8.1" customHeight="1" x14ac:dyDescent="0.3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8.1" customHeight="1" x14ac:dyDescent="0.3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8.1" customHeight="1" x14ac:dyDescent="0.3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8.1" customHeight="1" x14ac:dyDescent="0.3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8.1" customHeight="1" x14ac:dyDescent="0.3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8.1" customHeight="1" x14ac:dyDescent="0.3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8.1" customHeight="1" x14ac:dyDescent="0.3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8.1" customHeight="1" x14ac:dyDescent="0.3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8.1" customHeight="1" x14ac:dyDescent="0.3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24.45" customHeight="1" x14ac:dyDescent="0.3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9.6" customHeight="1" x14ac:dyDescent="0.3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9.6" customHeight="1" x14ac:dyDescent="0.3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9.6" customHeight="1" x14ac:dyDescent="0.3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9.6" customHeight="1" x14ac:dyDescent="0.3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9.6" customHeight="1" x14ac:dyDescent="0.3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6.350000000000001" customHeight="1" x14ac:dyDescent="0.3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9.6" customHeight="1" x14ac:dyDescent="0.3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9.6" customHeight="1" x14ac:dyDescent="0.3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9.6" customHeight="1" x14ac:dyDescent="0.3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6.350000000000001" customHeight="1" x14ac:dyDescent="0.3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6.350000000000001" customHeight="1" x14ac:dyDescent="0.3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9.6" customHeight="1" x14ac:dyDescent="0.3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9.6" customHeight="1" x14ac:dyDescent="0.3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9.6" customHeight="1" x14ac:dyDescent="0.3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9.6" customHeight="1" x14ac:dyDescent="0.3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9.6" customHeight="1" x14ac:dyDescent="0.3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8.1" customHeight="1" x14ac:dyDescent="0.3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8.1" customHeight="1" x14ac:dyDescent="0.3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8.1" customHeight="1" x14ac:dyDescent="0.3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8.1" customHeight="1" x14ac:dyDescent="0.3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8.1" customHeight="1" x14ac:dyDescent="0.3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8.1" customHeight="1" x14ac:dyDescent="0.3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8.1" customHeight="1" x14ac:dyDescent="0.3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8.1" customHeight="1" x14ac:dyDescent="0.3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8.1" customHeight="1" x14ac:dyDescent="0.3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8.1" customHeight="1" x14ac:dyDescent="0.3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8.1" customHeight="1" x14ac:dyDescent="0.3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8.1" customHeight="1" x14ac:dyDescent="0.3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8.1" customHeight="1" x14ac:dyDescent="0.3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8.1" customHeight="1" x14ac:dyDescent="0.3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8.1" customHeight="1" x14ac:dyDescent="0.3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8.1" customHeight="1" x14ac:dyDescent="0.3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8.1" customHeight="1" x14ac:dyDescent="0.3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8.1" customHeight="1" x14ac:dyDescent="0.3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8.1" customHeight="1" x14ac:dyDescent="0.3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8.1" customHeight="1" x14ac:dyDescent="0.3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8.1" customHeight="1" x14ac:dyDescent="0.3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8.1" customHeight="1" x14ac:dyDescent="0.3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8.1" customHeight="1" x14ac:dyDescent="0.3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8.1" customHeight="1" x14ac:dyDescent="0.3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8.1" customHeight="1" x14ac:dyDescent="0.3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8.1" customHeight="1" x14ac:dyDescent="0.3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8.1" customHeight="1" x14ac:dyDescent="0.3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8.1" customHeight="1" x14ac:dyDescent="0.3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8.1" customHeight="1" x14ac:dyDescent="0.3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8.1" customHeight="1" x14ac:dyDescent="0.3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8.1" customHeight="1" x14ac:dyDescent="0.3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16.350000000000001" customHeight="1" x14ac:dyDescent="0.3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9.6" customHeight="1" x14ac:dyDescent="0.3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9.6" customHeight="1" x14ac:dyDescent="0.3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9.6" customHeight="1" x14ac:dyDescent="0.3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9.6" customHeight="1" x14ac:dyDescent="0.3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9.6" customHeight="1" x14ac:dyDescent="0.3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16.350000000000001" customHeight="1" x14ac:dyDescent="0.3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9.6" customHeight="1" x14ac:dyDescent="0.3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9.6" customHeight="1" x14ac:dyDescent="0.3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9.6" customHeight="1" x14ac:dyDescent="0.3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16.350000000000001" customHeight="1" x14ac:dyDescent="0.3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16.350000000000001" customHeight="1" x14ac:dyDescent="0.3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9.6" customHeight="1" x14ac:dyDescent="0.3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9.6" customHeight="1" x14ac:dyDescent="0.3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9.6" customHeight="1" x14ac:dyDescent="0.3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9.6" customHeight="1" x14ac:dyDescent="0.3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9.6" customHeight="1" x14ac:dyDescent="0.3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16.350000000000001" customHeight="1" x14ac:dyDescent="0.3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8.1" customHeight="1" x14ac:dyDescent="0.3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9.6" customHeight="1" x14ac:dyDescent="0.3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9.6" customHeight="1" x14ac:dyDescent="0.3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9.6" customHeight="1" x14ac:dyDescent="0.3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9.6" customHeight="1" x14ac:dyDescent="0.3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9.6" customHeight="1" x14ac:dyDescent="0.3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9.6" customHeight="1" x14ac:dyDescent="0.3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9.6" customHeight="1" x14ac:dyDescent="0.3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9.6" customHeight="1" x14ac:dyDescent="0.3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9.6" customHeight="1" x14ac:dyDescent="0.3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9.6" customHeight="1" x14ac:dyDescent="0.3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9.6" customHeight="1" x14ac:dyDescent="0.3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9.6" customHeight="1" x14ac:dyDescent="0.3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9.6" customHeight="1" x14ac:dyDescent="0.3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9.6" customHeight="1" x14ac:dyDescent="0.3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9.6" customHeight="1" x14ac:dyDescent="0.3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9.6" customHeight="1" x14ac:dyDescent="0.3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9.6" customHeight="1" x14ac:dyDescent="0.3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9.6" customHeight="1" x14ac:dyDescent="0.3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9.6" customHeight="1" x14ac:dyDescent="0.3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9.6" customHeight="1" x14ac:dyDescent="0.3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9.6" customHeight="1" x14ac:dyDescent="0.3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9.6" customHeight="1" x14ac:dyDescent="0.3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9.6" customHeight="1" x14ac:dyDescent="0.3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9.6" customHeight="1" x14ac:dyDescent="0.3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16.350000000000001" customHeight="1" x14ac:dyDescent="0.3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8.1" customHeight="1" x14ac:dyDescent="0.3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9.6" customHeight="1" x14ac:dyDescent="0.3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9.6" customHeight="1" x14ac:dyDescent="0.3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9.6" customHeight="1" x14ac:dyDescent="0.3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9.6" customHeight="1" x14ac:dyDescent="0.3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9.6" customHeight="1" x14ac:dyDescent="0.3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9.6" customHeight="1" x14ac:dyDescent="0.3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9.6" customHeight="1" x14ac:dyDescent="0.3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9.6" customHeight="1" x14ac:dyDescent="0.3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9.6" customHeight="1" x14ac:dyDescent="0.3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8.1" customHeight="1" x14ac:dyDescent="0.3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9.6" customHeight="1" x14ac:dyDescent="0.3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9.6" customHeight="1" x14ac:dyDescent="0.3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16.350000000000001" customHeight="1" x14ac:dyDescent="0.3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16.350000000000001" customHeight="1" x14ac:dyDescent="0.3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16.350000000000001" customHeight="1" x14ac:dyDescent="0.3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16.350000000000001" customHeight="1" x14ac:dyDescent="0.3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16.350000000000001" customHeight="1" x14ac:dyDescent="0.3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16.350000000000001" customHeight="1" x14ac:dyDescent="0.3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16.350000000000001" customHeight="1" x14ac:dyDescent="0.3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9.6" customHeight="1" x14ac:dyDescent="0.3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9.6" customHeight="1" x14ac:dyDescent="0.3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9.6" customHeight="1" x14ac:dyDescent="0.3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9.6" customHeight="1" x14ac:dyDescent="0.3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9.6" customHeight="1" x14ac:dyDescent="0.3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9.6" customHeight="1" x14ac:dyDescent="0.3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9.6" customHeight="1" x14ac:dyDescent="0.3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9.6" customHeight="1" x14ac:dyDescent="0.3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9.6" customHeight="1" x14ac:dyDescent="0.3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9.6" customHeight="1" x14ac:dyDescent="0.3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9.6" customHeight="1" x14ac:dyDescent="0.3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9.6" customHeight="1" x14ac:dyDescent="0.3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9.6" customHeight="1" x14ac:dyDescent="0.3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9.6" customHeight="1" x14ac:dyDescent="0.3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9.6" customHeight="1" x14ac:dyDescent="0.3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16.350000000000001" customHeight="1" x14ac:dyDescent="0.3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16.350000000000001" customHeight="1" x14ac:dyDescent="0.3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9.6" customHeight="1" x14ac:dyDescent="0.3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9.6" customHeight="1" x14ac:dyDescent="0.3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9.6" customHeight="1" x14ac:dyDescent="0.3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9.6" customHeight="1" x14ac:dyDescent="0.3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9.6" customHeight="1" x14ac:dyDescent="0.3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9.6" customHeight="1" x14ac:dyDescent="0.3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9.6" customHeight="1" x14ac:dyDescent="0.3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9.6" customHeight="1" x14ac:dyDescent="0.3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9.6" customHeight="1" x14ac:dyDescent="0.3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9.6" customHeight="1" x14ac:dyDescent="0.3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9.6" customHeight="1" x14ac:dyDescent="0.3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9.6" customHeight="1" x14ac:dyDescent="0.3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9.6" customHeight="1" x14ac:dyDescent="0.3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9.6" customHeight="1" x14ac:dyDescent="0.3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9.6" customHeight="1" x14ac:dyDescent="0.3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9.6" customHeight="1" x14ac:dyDescent="0.3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9.6" customHeight="1" x14ac:dyDescent="0.3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9.6" customHeight="1" x14ac:dyDescent="0.3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9.6" customHeight="1" x14ac:dyDescent="0.3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9.6" customHeight="1" x14ac:dyDescent="0.3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9.6" customHeight="1" x14ac:dyDescent="0.3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9.6" customHeight="1" x14ac:dyDescent="0.3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9.6" customHeight="1" x14ac:dyDescent="0.3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9.6" customHeight="1" x14ac:dyDescent="0.3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9.6" customHeight="1" x14ac:dyDescent="0.3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9.6" customHeight="1" x14ac:dyDescent="0.3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9.6" customHeight="1" x14ac:dyDescent="0.3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9.6" customHeight="1" x14ac:dyDescent="0.3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9.6" customHeight="1" x14ac:dyDescent="0.3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9.6" customHeight="1" x14ac:dyDescent="0.3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9.6" customHeight="1" x14ac:dyDescent="0.3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8.1" customHeight="1" x14ac:dyDescent="0.3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8.1" customHeight="1" x14ac:dyDescent="0.3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9.6" customHeight="1" x14ac:dyDescent="0.3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9.6" customHeight="1" x14ac:dyDescent="0.3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9.6" customHeight="1" x14ac:dyDescent="0.3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9.6" customHeight="1" x14ac:dyDescent="0.3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9.6" customHeight="1" x14ac:dyDescent="0.3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9.6" customHeight="1" x14ac:dyDescent="0.3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9.6" customHeight="1" x14ac:dyDescent="0.3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9.6" customHeight="1" x14ac:dyDescent="0.3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9.6" customHeight="1" x14ac:dyDescent="0.3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9.6" customHeight="1" x14ac:dyDescent="0.3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9.6" customHeight="1" x14ac:dyDescent="0.3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9.6" customHeight="1" x14ac:dyDescent="0.3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9.6" customHeight="1" x14ac:dyDescent="0.3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9.6" customHeight="1" x14ac:dyDescent="0.3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9.6" customHeight="1" x14ac:dyDescent="0.3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16.350000000000001" customHeight="1" x14ac:dyDescent="0.3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8.1" customHeight="1" x14ac:dyDescent="0.3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9.6" customHeight="1" x14ac:dyDescent="0.3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9.6" customHeight="1" x14ac:dyDescent="0.3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9.6" customHeight="1" x14ac:dyDescent="0.3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9.6" customHeight="1" x14ac:dyDescent="0.3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9.6" customHeight="1" x14ac:dyDescent="0.3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9.6" customHeight="1" x14ac:dyDescent="0.3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9.6" customHeight="1" x14ac:dyDescent="0.3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9.6" customHeight="1" x14ac:dyDescent="0.3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9.6" customHeight="1" x14ac:dyDescent="0.3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9.6" customHeight="1" x14ac:dyDescent="0.3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9.6" customHeight="1" x14ac:dyDescent="0.3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9.6" customHeight="1" x14ac:dyDescent="0.3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9.6" customHeight="1" x14ac:dyDescent="0.3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9.6" customHeight="1" x14ac:dyDescent="0.3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9.6" customHeight="1" x14ac:dyDescent="0.3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9.6" customHeight="1" x14ac:dyDescent="0.3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9.6" customHeight="1" x14ac:dyDescent="0.3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9.6" customHeight="1" x14ac:dyDescent="0.3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9.6" customHeight="1" x14ac:dyDescent="0.3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9.6" customHeight="1" x14ac:dyDescent="0.3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9.6" customHeight="1" x14ac:dyDescent="0.3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16.350000000000001" customHeight="1" x14ac:dyDescent="0.3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9.6" customHeight="1" x14ac:dyDescent="0.3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9.6" customHeight="1" x14ac:dyDescent="0.3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9.6" customHeight="1" x14ac:dyDescent="0.3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8.1" customHeight="1" x14ac:dyDescent="0.3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9.6" customHeight="1" x14ac:dyDescent="0.3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9.6" customHeight="1" x14ac:dyDescent="0.3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9.6" customHeight="1" x14ac:dyDescent="0.3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9.6" customHeight="1" x14ac:dyDescent="0.3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16.350000000000001" customHeight="1" x14ac:dyDescent="0.3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16.350000000000001" customHeight="1" x14ac:dyDescent="0.3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9.6" customHeight="1" x14ac:dyDescent="0.3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9.6" customHeight="1" x14ac:dyDescent="0.3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9.6" customHeight="1" x14ac:dyDescent="0.3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9.6" customHeight="1" x14ac:dyDescent="0.3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9.6" customHeight="1" x14ac:dyDescent="0.3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9.6" customHeight="1" x14ac:dyDescent="0.3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9.6" customHeight="1" x14ac:dyDescent="0.3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9.6" customHeight="1" x14ac:dyDescent="0.3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16.350000000000001" customHeight="1" x14ac:dyDescent="0.3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8.1" customHeight="1" x14ac:dyDescent="0.3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9.6" customHeight="1" x14ac:dyDescent="0.3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9.6" customHeight="1" x14ac:dyDescent="0.3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9.6" customHeight="1" x14ac:dyDescent="0.3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9.6" customHeight="1" x14ac:dyDescent="0.3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9.6" customHeight="1" x14ac:dyDescent="0.3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9.6" customHeight="1" x14ac:dyDescent="0.3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9.6" customHeight="1" x14ac:dyDescent="0.3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9.6" customHeight="1" x14ac:dyDescent="0.3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9.6" customHeight="1" x14ac:dyDescent="0.3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9.6" customHeight="1" x14ac:dyDescent="0.3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9.6" customHeight="1" x14ac:dyDescent="0.3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9.6" customHeight="1" x14ac:dyDescent="0.3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9.6" customHeight="1" x14ac:dyDescent="0.3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9.6" customHeight="1" x14ac:dyDescent="0.3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9.6" customHeight="1" x14ac:dyDescent="0.3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9.6" customHeight="1" x14ac:dyDescent="0.3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9.6" customHeight="1" x14ac:dyDescent="0.3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9.6" customHeight="1" x14ac:dyDescent="0.3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9.6" customHeight="1" x14ac:dyDescent="0.3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9.6" customHeight="1" x14ac:dyDescent="0.3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9.6" customHeight="1" x14ac:dyDescent="0.3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16.350000000000001" customHeight="1" x14ac:dyDescent="0.3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9.6" customHeight="1" x14ac:dyDescent="0.3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9.6" customHeight="1" x14ac:dyDescent="0.3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9.6" customHeight="1" x14ac:dyDescent="0.3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8.1" customHeight="1" x14ac:dyDescent="0.3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9.6" customHeight="1" x14ac:dyDescent="0.3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9.6" customHeight="1" x14ac:dyDescent="0.3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9.6" customHeight="1" x14ac:dyDescent="0.3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9.6" customHeight="1" x14ac:dyDescent="0.3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16.350000000000001" customHeight="1" x14ac:dyDescent="0.3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16.350000000000001" customHeight="1" x14ac:dyDescent="0.3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9.6" customHeight="1" x14ac:dyDescent="0.3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9.6" customHeight="1" x14ac:dyDescent="0.3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9.6" customHeight="1" x14ac:dyDescent="0.3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9.6" customHeight="1" x14ac:dyDescent="0.3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9.6" customHeight="1" x14ac:dyDescent="0.3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9.6" customHeight="1" x14ac:dyDescent="0.3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9.6" customHeight="1" x14ac:dyDescent="0.3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16.350000000000001" customHeight="1" x14ac:dyDescent="0.3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16.350000000000001" customHeight="1" x14ac:dyDescent="0.3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8.1" customHeight="1" x14ac:dyDescent="0.3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9.6" customHeight="1" x14ac:dyDescent="0.3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9.6" customHeight="1" x14ac:dyDescent="0.3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9.6" customHeight="1" x14ac:dyDescent="0.3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9.6" customHeight="1" x14ac:dyDescent="0.3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9.6" customHeight="1" x14ac:dyDescent="0.3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9.6" customHeight="1" x14ac:dyDescent="0.3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9.6" customHeight="1" x14ac:dyDescent="0.3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9.6" customHeight="1" x14ac:dyDescent="0.3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9.6" customHeight="1" x14ac:dyDescent="0.3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9.6" customHeight="1" x14ac:dyDescent="0.3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9.6" customHeight="1" x14ac:dyDescent="0.3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9.6" customHeight="1" x14ac:dyDescent="0.3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9.6" customHeight="1" x14ac:dyDescent="0.3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9.6" customHeight="1" x14ac:dyDescent="0.3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9.6" customHeight="1" x14ac:dyDescent="0.3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9.6" customHeight="1" x14ac:dyDescent="0.3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9.6" customHeight="1" x14ac:dyDescent="0.3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9.6" customHeight="1" x14ac:dyDescent="0.3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9.6" customHeight="1" x14ac:dyDescent="0.3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9.6" customHeight="1" x14ac:dyDescent="0.3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9.6" customHeight="1" x14ac:dyDescent="0.3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16.350000000000001" customHeight="1" x14ac:dyDescent="0.3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9.6" customHeight="1" x14ac:dyDescent="0.3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9.6" customHeight="1" x14ac:dyDescent="0.3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9.6" customHeight="1" x14ac:dyDescent="0.3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8.1" customHeight="1" x14ac:dyDescent="0.3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9.6" customHeight="1" x14ac:dyDescent="0.3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9.6" customHeight="1" x14ac:dyDescent="0.3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9.6" customHeight="1" x14ac:dyDescent="0.3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9.6" customHeight="1" x14ac:dyDescent="0.3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16.350000000000001" customHeight="1" x14ac:dyDescent="0.3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16.350000000000001" customHeight="1" x14ac:dyDescent="0.3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9.6" customHeight="1" x14ac:dyDescent="0.3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9.6" customHeight="1" x14ac:dyDescent="0.3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9.6" customHeight="1" x14ac:dyDescent="0.3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9.6" customHeight="1" x14ac:dyDescent="0.3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9.6" customHeight="1" x14ac:dyDescent="0.3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9.6" customHeight="1" x14ac:dyDescent="0.3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9.6" customHeight="1" x14ac:dyDescent="0.3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16.350000000000001" customHeight="1" x14ac:dyDescent="0.3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16.350000000000001" customHeight="1" x14ac:dyDescent="0.3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8.1" customHeight="1" x14ac:dyDescent="0.3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9.6" customHeight="1" x14ac:dyDescent="0.3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16.350000000000001" customHeight="1" x14ac:dyDescent="0.3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9.6" customHeight="1" x14ac:dyDescent="0.3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9.6" customHeight="1" x14ac:dyDescent="0.3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9.6" customHeight="1" x14ac:dyDescent="0.3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9.6" customHeight="1" x14ac:dyDescent="0.3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9.6" customHeight="1" x14ac:dyDescent="0.3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9.6" customHeight="1" x14ac:dyDescent="0.3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9.6" customHeight="1" x14ac:dyDescent="0.3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9.6" customHeight="1" x14ac:dyDescent="0.3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9.6" customHeight="1" x14ac:dyDescent="0.3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9.6" customHeight="1" x14ac:dyDescent="0.3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9.6" customHeight="1" x14ac:dyDescent="0.3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9.6" customHeight="1" x14ac:dyDescent="0.3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9.6" customHeight="1" x14ac:dyDescent="0.3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16.350000000000001" customHeight="1" x14ac:dyDescent="0.3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9.6" customHeight="1" x14ac:dyDescent="0.3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9.6" customHeight="1" x14ac:dyDescent="0.3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16.350000000000001" customHeight="1" x14ac:dyDescent="0.3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9.6" customHeight="1" x14ac:dyDescent="0.3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9.6" customHeight="1" x14ac:dyDescent="0.3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9.6" customHeight="1" x14ac:dyDescent="0.3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9.6" customHeight="1" x14ac:dyDescent="0.3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9.6" customHeight="1" x14ac:dyDescent="0.3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9.6" customHeight="1" x14ac:dyDescent="0.3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16.350000000000001" customHeight="1" x14ac:dyDescent="0.3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8.1" customHeight="1" x14ac:dyDescent="0.3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9.6" customHeight="1" x14ac:dyDescent="0.3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9.6" customHeight="1" x14ac:dyDescent="0.3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9.6" customHeight="1" x14ac:dyDescent="0.3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9.6" customHeight="1" x14ac:dyDescent="0.3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9.6" customHeight="1" x14ac:dyDescent="0.3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9.6" customHeight="1" x14ac:dyDescent="0.3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9.6" customHeight="1" x14ac:dyDescent="0.3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9.6" customHeight="1" x14ac:dyDescent="0.3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9.6" customHeight="1" x14ac:dyDescent="0.3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9.6" customHeight="1" x14ac:dyDescent="0.3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9.6" customHeight="1" x14ac:dyDescent="0.3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9.6" customHeight="1" x14ac:dyDescent="0.3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9.6" customHeight="1" x14ac:dyDescent="0.3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9.6" customHeight="1" x14ac:dyDescent="0.3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9.6" customHeight="1" x14ac:dyDescent="0.3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9.6" customHeight="1" x14ac:dyDescent="0.3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9.6" customHeight="1" x14ac:dyDescent="0.3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9.6" customHeight="1" x14ac:dyDescent="0.3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9.6" customHeight="1" x14ac:dyDescent="0.3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9.6" customHeight="1" x14ac:dyDescent="0.3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9.6" customHeight="1" x14ac:dyDescent="0.3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9.6" customHeight="1" x14ac:dyDescent="0.3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16.350000000000001" customHeight="1" x14ac:dyDescent="0.3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8.1" customHeight="1" x14ac:dyDescent="0.3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8.1" customHeight="1" x14ac:dyDescent="0.3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8.1" customHeight="1" x14ac:dyDescent="0.3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8.1" customHeight="1" x14ac:dyDescent="0.3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8.1" customHeight="1" x14ac:dyDescent="0.3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8.1" customHeight="1" x14ac:dyDescent="0.3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8.1" customHeight="1" x14ac:dyDescent="0.3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8.1" customHeight="1" x14ac:dyDescent="0.3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8.1" customHeight="1" x14ac:dyDescent="0.3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8.1" customHeight="1" x14ac:dyDescent="0.3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8.1" customHeight="1" x14ac:dyDescent="0.3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8.1" customHeight="1" x14ac:dyDescent="0.3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8.1" customHeight="1" x14ac:dyDescent="0.3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8.1" customHeight="1" x14ac:dyDescent="0.3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8.1" customHeight="1" x14ac:dyDescent="0.3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8.1" customHeight="1" x14ac:dyDescent="0.3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8.1" customHeight="1" x14ac:dyDescent="0.3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8.1" customHeight="1" x14ac:dyDescent="0.3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8.1" customHeight="1" x14ac:dyDescent="0.3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8.1" customHeight="1" x14ac:dyDescent="0.3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8.1" customHeight="1" x14ac:dyDescent="0.3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16.350000000000001" customHeight="1" x14ac:dyDescent="0.3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9.6" customHeight="1" x14ac:dyDescent="0.3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8.1" customHeight="1" x14ac:dyDescent="0.3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8.1" customHeight="1" x14ac:dyDescent="0.3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16.350000000000001" customHeight="1" x14ac:dyDescent="0.3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8.1" customHeight="1" x14ac:dyDescent="0.3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16.350000000000001" customHeight="1" x14ac:dyDescent="0.3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16.350000000000001" customHeight="1" x14ac:dyDescent="0.3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16.350000000000001" customHeight="1" x14ac:dyDescent="0.3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8.1" customHeight="1" x14ac:dyDescent="0.3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8.1" customHeight="1" x14ac:dyDescent="0.3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8.1" customHeight="1" x14ac:dyDescent="0.3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9.6" customHeight="1" x14ac:dyDescent="0.3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16.350000000000001" customHeight="1" x14ac:dyDescent="0.3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8.1" customHeight="1" x14ac:dyDescent="0.3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16.350000000000001" customHeight="1" x14ac:dyDescent="0.3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16.350000000000001" customHeight="1" x14ac:dyDescent="0.3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16.350000000000001" customHeight="1" x14ac:dyDescent="0.3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8.1" customHeight="1" x14ac:dyDescent="0.3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8.1" customHeight="1" x14ac:dyDescent="0.3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9.6" customHeight="1" x14ac:dyDescent="0.3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8.1" customHeight="1" x14ac:dyDescent="0.3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8.1" customHeight="1" x14ac:dyDescent="0.3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9.6" customHeight="1" x14ac:dyDescent="0.3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16.350000000000001" customHeight="1" x14ac:dyDescent="0.3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9.6" customHeight="1" x14ac:dyDescent="0.3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24.45" customHeight="1" x14ac:dyDescent="0.3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8.1" customHeight="1" x14ac:dyDescent="0.3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8.1" customHeight="1" x14ac:dyDescent="0.3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16.350000000000001" customHeight="1" x14ac:dyDescent="0.3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16.350000000000001" customHeight="1" x14ac:dyDescent="0.3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16.350000000000001" customHeight="1" x14ac:dyDescent="0.3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8.1" customHeight="1" x14ac:dyDescent="0.3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8.1" customHeight="1" x14ac:dyDescent="0.3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8.1" customHeight="1" x14ac:dyDescent="0.3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8.1" customHeight="1" x14ac:dyDescent="0.3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8.1" customHeight="1" x14ac:dyDescent="0.3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8.1" customHeight="1" x14ac:dyDescent="0.3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8.1" customHeight="1" x14ac:dyDescent="0.3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8.1" customHeight="1" x14ac:dyDescent="0.3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8.1" customHeight="1" x14ac:dyDescent="0.3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9.6" customHeight="1" x14ac:dyDescent="0.3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9.6" customHeight="1" x14ac:dyDescent="0.3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8.1" customHeight="1" x14ac:dyDescent="0.3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8.1" customHeight="1" x14ac:dyDescent="0.3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8.1" customHeight="1" x14ac:dyDescent="0.3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8.1" customHeight="1" x14ac:dyDescent="0.3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8.1" customHeight="1" x14ac:dyDescent="0.3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9.6" customHeight="1" x14ac:dyDescent="0.3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9.6" customHeight="1" x14ac:dyDescent="0.3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9.6" customHeight="1" x14ac:dyDescent="0.3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9.6" customHeight="1" x14ac:dyDescent="0.3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9.6" customHeight="1" x14ac:dyDescent="0.3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9.6" customHeight="1" x14ac:dyDescent="0.3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9.6" customHeight="1" x14ac:dyDescent="0.3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9.6" customHeight="1" x14ac:dyDescent="0.3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9.6" customHeight="1" x14ac:dyDescent="0.3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9.6" customHeight="1" x14ac:dyDescent="0.3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9.6" customHeight="1" x14ac:dyDescent="0.3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9.6" customHeight="1" x14ac:dyDescent="0.3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9.6" customHeight="1" x14ac:dyDescent="0.3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9.6" customHeight="1" x14ac:dyDescent="0.3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9.6" customHeight="1" x14ac:dyDescent="0.3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9.6" customHeight="1" x14ac:dyDescent="0.3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9.6" customHeight="1" x14ac:dyDescent="0.3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9.6" customHeight="1" x14ac:dyDescent="0.3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9.6" customHeight="1" x14ac:dyDescent="0.3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9.6" customHeight="1" x14ac:dyDescent="0.3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9.6" customHeight="1" x14ac:dyDescent="0.3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9.6" customHeight="1" x14ac:dyDescent="0.3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9.6" customHeight="1" x14ac:dyDescent="0.3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9.6" customHeight="1" x14ac:dyDescent="0.3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9.6" customHeight="1" x14ac:dyDescent="0.3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9.6" customHeight="1" x14ac:dyDescent="0.3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9.6" customHeight="1" x14ac:dyDescent="0.3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9.6" customHeight="1" x14ac:dyDescent="0.3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9.6" customHeight="1" x14ac:dyDescent="0.3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16.350000000000001" customHeight="1" x14ac:dyDescent="0.3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9.6" customHeight="1" x14ac:dyDescent="0.3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9.6" customHeight="1" x14ac:dyDescent="0.3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9.6" customHeight="1" x14ac:dyDescent="0.3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9.6" customHeight="1" x14ac:dyDescent="0.3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9.6" customHeight="1" x14ac:dyDescent="0.3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24.45" customHeight="1" x14ac:dyDescent="0.3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16.350000000000001" customHeight="1" x14ac:dyDescent="0.3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9.6" customHeight="1" x14ac:dyDescent="0.3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9.6" customHeight="1" x14ac:dyDescent="0.3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9.6" customHeight="1" x14ac:dyDescent="0.3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9.6" customHeight="1" x14ac:dyDescent="0.3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9.6" customHeight="1" x14ac:dyDescent="0.3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9.6" customHeight="1" x14ac:dyDescent="0.3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9.6" customHeight="1" x14ac:dyDescent="0.3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9.6" customHeight="1" x14ac:dyDescent="0.3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9.6" customHeight="1" x14ac:dyDescent="0.3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9.6" customHeight="1" x14ac:dyDescent="0.3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9.6" customHeight="1" x14ac:dyDescent="0.3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9.6" customHeight="1" x14ac:dyDescent="0.3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9.6" customHeight="1" x14ac:dyDescent="0.3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9.6" customHeight="1" x14ac:dyDescent="0.3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9.6" customHeight="1" x14ac:dyDescent="0.3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8.1" customHeight="1" x14ac:dyDescent="0.3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8.1" customHeight="1" x14ac:dyDescent="0.3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8.1" customHeight="1" x14ac:dyDescent="0.3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16.350000000000001" customHeight="1" x14ac:dyDescent="0.3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8.1" customHeight="1" x14ac:dyDescent="0.3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8.1" customHeight="1" x14ac:dyDescent="0.3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8.1" customHeight="1" x14ac:dyDescent="0.3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8.1" customHeight="1" x14ac:dyDescent="0.3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8.1" customHeight="1" x14ac:dyDescent="0.3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9.6" customHeight="1" x14ac:dyDescent="0.3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9.6" customHeight="1" x14ac:dyDescent="0.3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9.6" customHeight="1" x14ac:dyDescent="0.3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9.6" customHeight="1" x14ac:dyDescent="0.3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9.6" customHeight="1" x14ac:dyDescent="0.3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9.6" customHeight="1" x14ac:dyDescent="0.3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9.6" customHeight="1" x14ac:dyDescent="0.3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9.6" customHeight="1" x14ac:dyDescent="0.3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9.6" customHeight="1" x14ac:dyDescent="0.3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9.6" customHeight="1" x14ac:dyDescent="0.3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9.6" customHeight="1" x14ac:dyDescent="0.3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9.6" customHeight="1" x14ac:dyDescent="0.3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9.6" customHeight="1" x14ac:dyDescent="0.3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9.6" customHeight="1" x14ac:dyDescent="0.3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9.6" customHeight="1" x14ac:dyDescent="0.3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9.6" customHeight="1" x14ac:dyDescent="0.3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9.6" customHeight="1" x14ac:dyDescent="0.3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9.6" customHeight="1" x14ac:dyDescent="0.3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16.350000000000001" customHeight="1" x14ac:dyDescent="0.3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9.6" customHeight="1" x14ac:dyDescent="0.3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9.6" customHeight="1" x14ac:dyDescent="0.3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8.1" customHeight="1" x14ac:dyDescent="0.3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8.1" customHeight="1" x14ac:dyDescent="0.3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16.350000000000001" customHeight="1" x14ac:dyDescent="0.3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9.6" customHeight="1" x14ac:dyDescent="0.3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9.6" customHeight="1" x14ac:dyDescent="0.3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9.6" customHeight="1" x14ac:dyDescent="0.3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9.6" customHeight="1" x14ac:dyDescent="0.3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9.6" customHeight="1" x14ac:dyDescent="0.3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9.6" customHeight="1" x14ac:dyDescent="0.3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9.6" customHeight="1" x14ac:dyDescent="0.3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9.6" customHeight="1" x14ac:dyDescent="0.3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9.6" customHeight="1" x14ac:dyDescent="0.3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9.6" customHeight="1" x14ac:dyDescent="0.3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16.350000000000001" customHeight="1" x14ac:dyDescent="0.3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16.350000000000001" customHeight="1" x14ac:dyDescent="0.3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9.6" customHeight="1" x14ac:dyDescent="0.3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9.6" customHeight="1" x14ac:dyDescent="0.3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9.6" customHeight="1" x14ac:dyDescent="0.3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9.6" customHeight="1" x14ac:dyDescent="0.3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9.6" customHeight="1" x14ac:dyDescent="0.3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5.3" customHeight="1" x14ac:dyDescent="0.3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5.3" customHeight="1" x14ac:dyDescent="0.3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8.1" customHeight="1" x14ac:dyDescent="0.3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8.1" customHeight="1" x14ac:dyDescent="0.3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8.1" customHeight="1" x14ac:dyDescent="0.3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16.350000000000001" customHeight="1" x14ac:dyDescent="0.3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8.1" customHeight="1" x14ac:dyDescent="0.3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8.1" customHeight="1" x14ac:dyDescent="0.3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8.1" customHeight="1" x14ac:dyDescent="0.3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8.1" customHeight="1" x14ac:dyDescent="0.3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8.1" customHeight="1" x14ac:dyDescent="0.3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9.6" customHeight="1" x14ac:dyDescent="0.3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9.6" customHeight="1" x14ac:dyDescent="0.3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9.6" customHeight="1" x14ac:dyDescent="0.3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9.6" customHeight="1" x14ac:dyDescent="0.3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9.6" customHeight="1" x14ac:dyDescent="0.3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9.6" customHeight="1" x14ac:dyDescent="0.3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9.6" customHeight="1" x14ac:dyDescent="0.3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9.6" customHeight="1" x14ac:dyDescent="0.3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9.6" customHeight="1" x14ac:dyDescent="0.3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9.6" customHeight="1" x14ac:dyDescent="0.3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9.6" customHeight="1" x14ac:dyDescent="0.3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9.6" customHeight="1" x14ac:dyDescent="0.3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9.6" customHeight="1" x14ac:dyDescent="0.3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9.6" customHeight="1" x14ac:dyDescent="0.3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9.6" customHeight="1" x14ac:dyDescent="0.3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9.6" customHeight="1" x14ac:dyDescent="0.3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9.6" customHeight="1" x14ac:dyDescent="0.3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9.6" customHeight="1" x14ac:dyDescent="0.3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9.6" customHeight="1" x14ac:dyDescent="0.3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16.350000000000001" customHeight="1" x14ac:dyDescent="0.3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9.6" customHeight="1" x14ac:dyDescent="0.3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9.6" customHeight="1" x14ac:dyDescent="0.3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8.1" customHeight="1" x14ac:dyDescent="0.3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8.1" customHeight="1" x14ac:dyDescent="0.3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16.350000000000001" customHeight="1" x14ac:dyDescent="0.3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9.6" customHeight="1" x14ac:dyDescent="0.3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9.6" customHeight="1" x14ac:dyDescent="0.3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9.6" customHeight="1" x14ac:dyDescent="0.3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16.350000000000001" customHeight="1" x14ac:dyDescent="0.3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8.1" customHeight="1" x14ac:dyDescent="0.3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16.350000000000001" customHeight="1" x14ac:dyDescent="0.3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8.1" customHeight="1" x14ac:dyDescent="0.3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8.1" customHeight="1" x14ac:dyDescent="0.3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8.1" customHeight="1" x14ac:dyDescent="0.3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16.350000000000001" customHeight="1" x14ac:dyDescent="0.3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8.1" customHeight="1" x14ac:dyDescent="0.3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8.1" customHeight="1" x14ac:dyDescent="0.3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8.1" customHeight="1" x14ac:dyDescent="0.3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8.1" customHeight="1" x14ac:dyDescent="0.3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16.350000000000001" customHeight="1" x14ac:dyDescent="0.3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16.350000000000001" customHeight="1" x14ac:dyDescent="0.3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9.6" customHeight="1" x14ac:dyDescent="0.3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9.6" customHeight="1" x14ac:dyDescent="0.3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8.1" customHeight="1" x14ac:dyDescent="0.3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8.1" customHeight="1" x14ac:dyDescent="0.3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8.1" customHeight="1" x14ac:dyDescent="0.3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8.1" customHeight="1" x14ac:dyDescent="0.3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8.1" customHeight="1" x14ac:dyDescent="0.3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8.1" customHeight="1" x14ac:dyDescent="0.3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8.1" customHeight="1" x14ac:dyDescent="0.3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8.1" customHeight="1" x14ac:dyDescent="0.3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9.6" customHeight="1" x14ac:dyDescent="0.3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9.6" customHeight="1" x14ac:dyDescent="0.3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9.6" customHeight="1" x14ac:dyDescent="0.3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9.6" customHeight="1" x14ac:dyDescent="0.3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9.6" customHeight="1" x14ac:dyDescent="0.3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16.350000000000001" customHeight="1" x14ac:dyDescent="0.3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8.1" customHeight="1" x14ac:dyDescent="0.3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8.1" customHeight="1" x14ac:dyDescent="0.3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8.1" customHeight="1" x14ac:dyDescent="0.3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8.1" customHeight="1" x14ac:dyDescent="0.3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9.6" customHeight="1" x14ac:dyDescent="0.3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9.6" customHeight="1" x14ac:dyDescent="0.3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8.1" customHeight="1" x14ac:dyDescent="0.3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16.350000000000001" customHeight="1" x14ac:dyDescent="0.3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16.350000000000001" customHeight="1" x14ac:dyDescent="0.3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9.6" customHeight="1" x14ac:dyDescent="0.3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9.6" customHeight="1" x14ac:dyDescent="0.3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9.6" customHeight="1" x14ac:dyDescent="0.3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9.6" customHeight="1" x14ac:dyDescent="0.3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9.6" customHeight="1" x14ac:dyDescent="0.3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9.6" customHeight="1" x14ac:dyDescent="0.3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9.6" customHeight="1" x14ac:dyDescent="0.3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9.6" customHeight="1" x14ac:dyDescent="0.3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9.6" customHeight="1" x14ac:dyDescent="0.3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9.6" customHeight="1" x14ac:dyDescent="0.3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16.350000000000001" customHeight="1" x14ac:dyDescent="0.3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9.6" customHeight="1" x14ac:dyDescent="0.3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9.6" customHeight="1" x14ac:dyDescent="0.3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9.6" customHeight="1" x14ac:dyDescent="0.3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9.6" customHeight="1" x14ac:dyDescent="0.3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9.6" customHeight="1" x14ac:dyDescent="0.3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9.6" customHeight="1" x14ac:dyDescent="0.3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9.6" customHeight="1" x14ac:dyDescent="0.3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9.6" customHeight="1" x14ac:dyDescent="0.3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9.6" customHeight="1" x14ac:dyDescent="0.3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9.6" customHeight="1" x14ac:dyDescent="0.3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9.6" customHeight="1" x14ac:dyDescent="0.3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9.6" customHeight="1" x14ac:dyDescent="0.3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9.6" customHeight="1" x14ac:dyDescent="0.3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9.6" customHeight="1" x14ac:dyDescent="0.3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9.6" customHeight="1" x14ac:dyDescent="0.3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16.350000000000001" customHeight="1" x14ac:dyDescent="0.3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9.6" customHeight="1" x14ac:dyDescent="0.3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9.6" customHeight="1" x14ac:dyDescent="0.3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9.6" customHeight="1" x14ac:dyDescent="0.3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9.6" customHeight="1" x14ac:dyDescent="0.3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9.6" customHeight="1" x14ac:dyDescent="0.3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9.6" customHeight="1" x14ac:dyDescent="0.3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9.6" customHeight="1" x14ac:dyDescent="0.3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9.6" customHeight="1" x14ac:dyDescent="0.3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9.6" customHeight="1" x14ac:dyDescent="0.3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9.6" customHeight="1" x14ac:dyDescent="0.3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16.350000000000001" customHeight="1" x14ac:dyDescent="0.3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9.6" customHeight="1" x14ac:dyDescent="0.3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9.6" customHeight="1" x14ac:dyDescent="0.3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16.350000000000001" customHeight="1" x14ac:dyDescent="0.3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9.6" customHeight="1" x14ac:dyDescent="0.3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9.6" customHeight="1" x14ac:dyDescent="0.3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9.6" customHeight="1" x14ac:dyDescent="0.3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9.6" customHeight="1" x14ac:dyDescent="0.3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9.6" customHeight="1" x14ac:dyDescent="0.3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9.6" customHeight="1" x14ac:dyDescent="0.3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9.6" customHeight="1" x14ac:dyDescent="0.3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9.6" customHeight="1" x14ac:dyDescent="0.3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9.6" customHeight="1" x14ac:dyDescent="0.3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9.6" customHeight="1" x14ac:dyDescent="0.3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9.6" customHeight="1" x14ac:dyDescent="0.3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9.6" customHeight="1" x14ac:dyDescent="0.3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16.350000000000001" customHeight="1" x14ac:dyDescent="0.3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9.6" customHeight="1" x14ac:dyDescent="0.3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9.6" customHeight="1" x14ac:dyDescent="0.3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9.6" customHeight="1" x14ac:dyDescent="0.3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9.6" customHeight="1" x14ac:dyDescent="0.3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9.6" customHeight="1" x14ac:dyDescent="0.3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9.6" customHeight="1" x14ac:dyDescent="0.3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9.6" customHeight="1" x14ac:dyDescent="0.3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9.6" customHeight="1" x14ac:dyDescent="0.3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9.6" customHeight="1" x14ac:dyDescent="0.3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9.6" customHeight="1" x14ac:dyDescent="0.3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9.6" customHeight="1" x14ac:dyDescent="0.3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9.6" customHeight="1" x14ac:dyDescent="0.3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8.1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8.1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8.1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8.1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8.1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8.1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8.1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8.1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8.1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8.1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8.1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8.1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8.1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8.1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8.1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8.1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8.1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8.1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8.1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8.1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8.1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8.1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8.1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8.1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8.1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8.1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8.1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8.1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8.1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8.1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8.1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8.1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8.1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8.1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8.1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8.1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8.1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8.1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8.1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8.1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8.1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8.1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8.1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8.1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8.1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8.1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8.1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8.1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8.1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8.1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8.1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8.1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8.1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8.1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8.1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8.1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8.1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8.1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8.1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8.1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8.1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8.1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8.1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8.1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8.1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8.1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8.1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8.1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8.1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8.1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8.1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8.1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8.1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8.1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8.1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8.1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8.1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8.1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8.1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8.1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8.1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8.1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8.1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8.1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8.1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8.1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8.1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8.1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8.1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8.1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8.1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8.1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8.1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8.1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8.1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8.1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8.1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8.1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8.1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8.1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8.1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8.1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8.1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8.1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8.1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8.1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8.1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8.1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8.1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8.1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8.1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8.1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8.1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8.1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8.1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8.1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8.1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8.1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8.1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8.1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8.1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8.1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8.1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8.1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8.1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8.1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8.1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8.1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8.1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8.1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8" topLeftCell="A18" activePane="bottomLeft" state="frozen"/>
      <selection pane="bottomLeft" activeCell="G18" sqref="G18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8"/>
      <c r="C1" s="98"/>
      <c r="D1" s="98"/>
      <c r="E1" s="98"/>
      <c r="F1" s="99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5" t="s">
        <v>112</v>
      </c>
      <c r="C2" s="148"/>
      <c r="D2" s="148"/>
      <c r="E2" s="148"/>
      <c r="F2" s="148"/>
      <c r="G2" s="148"/>
      <c r="H2" s="149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5" t="s">
        <v>31</v>
      </c>
      <c r="C3" s="148"/>
      <c r="D3" s="148"/>
      <c r="E3" s="148"/>
      <c r="F3" s="148"/>
      <c r="G3" s="148"/>
      <c r="H3" s="149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5" t="s">
        <v>4</v>
      </c>
      <c r="C4" s="148"/>
      <c r="D4" s="148"/>
      <c r="E4" s="148"/>
      <c r="F4" s="148"/>
      <c r="G4" s="148"/>
      <c r="H4" s="149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6" t="s">
        <v>120</v>
      </c>
      <c r="G5" s="148"/>
      <c r="H5" s="149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10</v>
      </c>
      <c r="B6" s="82">
        <f>COUNTIF(F9:F996,"Failed")</f>
        <v>1</v>
      </c>
      <c r="C6" s="82">
        <f>F6-E6-D6-B6-A6</f>
        <v>0</v>
      </c>
      <c r="D6" s="82">
        <f>COUNTIF(F9:F996,"Blocked")</f>
        <v>0</v>
      </c>
      <c r="E6" s="83">
        <f>COUNTIF(F9:F996,"Skipped")</f>
        <v>0</v>
      </c>
      <c r="F6" s="167">
        <f>COUNTA(A9:A996)</f>
        <v>11</v>
      </c>
      <c r="G6" s="148"/>
      <c r="H6" s="149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0" t="s">
        <v>121</v>
      </c>
      <c r="B8" s="100" t="s">
        <v>122</v>
      </c>
      <c r="C8" s="100" t="s">
        <v>123</v>
      </c>
      <c r="D8" s="100" t="s">
        <v>124</v>
      </c>
      <c r="E8" s="101" t="s">
        <v>125</v>
      </c>
      <c r="F8" s="101" t="s">
        <v>126</v>
      </c>
      <c r="G8" s="101" t="s">
        <v>127</v>
      </c>
      <c r="H8" s="100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81.95" customHeight="1" x14ac:dyDescent="0.3">
      <c r="A9" s="102" t="s">
        <v>128</v>
      </c>
      <c r="B9" s="137" t="s">
        <v>129</v>
      </c>
      <c r="C9" s="137" t="s">
        <v>130</v>
      </c>
      <c r="D9" s="137" t="s">
        <v>131</v>
      </c>
      <c r="E9" s="138"/>
      <c r="F9" s="102" t="s">
        <v>113</v>
      </c>
      <c r="G9" s="103">
        <v>46325</v>
      </c>
      <c r="H9" s="104"/>
      <c r="I9" s="94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181.95" customHeight="1" x14ac:dyDescent="0.3">
      <c r="A10" s="102" t="s">
        <v>132</v>
      </c>
      <c r="B10" s="137" t="s">
        <v>133</v>
      </c>
      <c r="C10" s="137" t="s">
        <v>134</v>
      </c>
      <c r="D10" s="137" t="s">
        <v>135</v>
      </c>
      <c r="E10" s="138"/>
      <c r="F10" s="102" t="s">
        <v>113</v>
      </c>
      <c r="G10" s="103">
        <v>46325</v>
      </c>
      <c r="H10" s="104"/>
      <c r="I10" s="94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114.45" customHeight="1" x14ac:dyDescent="0.3">
      <c r="A11" s="102" t="s">
        <v>136</v>
      </c>
      <c r="B11" s="137" t="s">
        <v>137</v>
      </c>
      <c r="C11" s="137" t="s">
        <v>138</v>
      </c>
      <c r="D11" s="137" t="s">
        <v>139</v>
      </c>
      <c r="E11" s="138"/>
      <c r="F11" s="102" t="s">
        <v>113</v>
      </c>
      <c r="G11" s="103">
        <v>46325</v>
      </c>
      <c r="H11" s="104"/>
      <c r="I11" s="94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127.95" customHeight="1" x14ac:dyDescent="0.3">
      <c r="A12" s="102" t="s">
        <v>140</v>
      </c>
      <c r="B12" s="137" t="s">
        <v>141</v>
      </c>
      <c r="C12" s="137" t="s">
        <v>142</v>
      </c>
      <c r="D12" s="137" t="s">
        <v>143</v>
      </c>
      <c r="E12" s="138"/>
      <c r="F12" s="102" t="s">
        <v>113</v>
      </c>
      <c r="G12" s="103">
        <v>46325</v>
      </c>
      <c r="H12" s="104"/>
      <c r="I12" s="94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100.95" customHeight="1" x14ac:dyDescent="0.3">
      <c r="A13" s="102" t="s">
        <v>144</v>
      </c>
      <c r="B13" s="137" t="s">
        <v>145</v>
      </c>
      <c r="C13" s="137" t="s">
        <v>146</v>
      </c>
      <c r="D13" s="137" t="s">
        <v>147</v>
      </c>
      <c r="E13" s="138"/>
      <c r="F13" s="102" t="s">
        <v>113</v>
      </c>
      <c r="G13" s="103">
        <v>46325</v>
      </c>
      <c r="H13" s="104"/>
      <c r="I13" s="94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168.45" customHeight="1" x14ac:dyDescent="0.3">
      <c r="A14" s="102" t="s">
        <v>148</v>
      </c>
      <c r="B14" s="137" t="s">
        <v>149</v>
      </c>
      <c r="C14" s="144" t="s">
        <v>150</v>
      </c>
      <c r="D14" s="137" t="s">
        <v>151</v>
      </c>
      <c r="E14" s="138"/>
      <c r="F14" s="102" t="s">
        <v>113</v>
      </c>
      <c r="G14" s="103">
        <v>46325</v>
      </c>
      <c r="H14" s="104"/>
      <c r="I14" s="94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195.45" customHeight="1" x14ac:dyDescent="0.3">
      <c r="A15" s="142" t="s">
        <v>152</v>
      </c>
      <c r="B15" s="143" t="s">
        <v>153</v>
      </c>
      <c r="C15" s="144" t="s">
        <v>154</v>
      </c>
      <c r="D15" s="137" t="s">
        <v>155</v>
      </c>
      <c r="E15" s="141"/>
      <c r="F15" s="145" t="s">
        <v>113</v>
      </c>
      <c r="G15" s="173">
        <v>46325</v>
      </c>
      <c r="H15" s="140"/>
      <c r="I15" s="95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81.95" customHeight="1" x14ac:dyDescent="0.3">
      <c r="A16" s="142" t="s">
        <v>156</v>
      </c>
      <c r="B16" s="143" t="s">
        <v>157</v>
      </c>
      <c r="C16" s="144" t="s">
        <v>158</v>
      </c>
      <c r="D16" s="137" t="s">
        <v>159</v>
      </c>
      <c r="E16" s="141"/>
      <c r="F16" s="102" t="s">
        <v>113</v>
      </c>
      <c r="G16" s="173">
        <v>46325</v>
      </c>
      <c r="H16" s="140"/>
      <c r="I16" s="94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4.94999999999999" customHeight="1" x14ac:dyDescent="0.3">
      <c r="A17" s="142" t="s">
        <v>160</v>
      </c>
      <c r="B17" s="143" t="s">
        <v>161</v>
      </c>
      <c r="C17" s="144" t="s">
        <v>162</v>
      </c>
      <c r="D17" s="137" t="s">
        <v>163</v>
      </c>
      <c r="E17" s="141"/>
      <c r="F17" s="146" t="s">
        <v>113</v>
      </c>
      <c r="G17" s="173">
        <v>46325</v>
      </c>
      <c r="H17" s="140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5.45" customHeight="1" x14ac:dyDescent="0.3">
      <c r="A18" s="142" t="s">
        <v>164</v>
      </c>
      <c r="B18" s="143" t="s">
        <v>165</v>
      </c>
      <c r="C18" s="144" t="s">
        <v>166</v>
      </c>
      <c r="D18" s="137" t="s">
        <v>167</v>
      </c>
      <c r="E18" s="141"/>
      <c r="F18" s="146" t="s">
        <v>115</v>
      </c>
      <c r="G18" s="173">
        <v>46325</v>
      </c>
      <c r="H18" s="140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1.44999999999999" customHeight="1" x14ac:dyDescent="0.3">
      <c r="A19" s="142" t="s">
        <v>168</v>
      </c>
      <c r="B19" s="143" t="s">
        <v>169</v>
      </c>
      <c r="C19" s="144" t="s">
        <v>170</v>
      </c>
      <c r="D19" s="137" t="s">
        <v>171</v>
      </c>
      <c r="E19" s="141"/>
      <c r="F19" s="146" t="s">
        <v>113</v>
      </c>
      <c r="G19" s="173">
        <v>46325</v>
      </c>
      <c r="H19" s="140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9" activePane="bottomLeft" state="frozen"/>
      <selection pane="bottomLeft" activeCell="G9" sqref="G9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5" t="s">
        <v>172</v>
      </c>
      <c r="C2" s="148"/>
      <c r="D2" s="148"/>
      <c r="E2" s="148"/>
      <c r="F2" s="148"/>
      <c r="G2" s="148"/>
      <c r="H2" s="149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5" t="s">
        <v>35</v>
      </c>
      <c r="C3" s="148"/>
      <c r="D3" s="148"/>
      <c r="E3" s="148"/>
      <c r="F3" s="148"/>
      <c r="G3" s="148"/>
      <c r="H3" s="149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5" t="s">
        <v>4</v>
      </c>
      <c r="C4" s="148"/>
      <c r="D4" s="148"/>
      <c r="E4" s="148"/>
      <c r="F4" s="148"/>
      <c r="G4" s="148"/>
      <c r="H4" s="149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6" t="s">
        <v>120</v>
      </c>
      <c r="G5" s="148"/>
      <c r="H5" s="149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COUNTIF(F9:F992,"Passed")</f>
        <v>5</v>
      </c>
      <c r="B6" s="82">
        <f>COUNTIF(F9:F992,"Failed")</f>
        <v>0</v>
      </c>
      <c r="C6" s="82">
        <v>5</v>
      </c>
      <c r="D6" s="82">
        <f>COUNTIF(F9:F992,"Blocked")</f>
        <v>0</v>
      </c>
      <c r="E6" s="83">
        <f>COUNTIF(F9:F992,"Skipped")</f>
        <v>0</v>
      </c>
      <c r="F6" s="167">
        <f>COUNTA(A9:A992)</f>
        <v>5</v>
      </c>
      <c r="G6" s="148"/>
      <c r="H6" s="149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121</v>
      </c>
      <c r="B8" s="87" t="s">
        <v>122</v>
      </c>
      <c r="C8" s="87" t="s">
        <v>123</v>
      </c>
      <c r="D8" s="87" t="s">
        <v>124</v>
      </c>
      <c r="E8" s="88" t="s">
        <v>125</v>
      </c>
      <c r="F8" s="88" t="s">
        <v>126</v>
      </c>
      <c r="G8" s="88" t="s">
        <v>127</v>
      </c>
      <c r="H8" s="89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27.95" customHeight="1" x14ac:dyDescent="0.3">
      <c r="A9" s="91" t="s">
        <v>173</v>
      </c>
      <c r="B9" s="137" t="s">
        <v>174</v>
      </c>
      <c r="C9" s="137" t="s">
        <v>175</v>
      </c>
      <c r="D9" s="137" t="s">
        <v>176</v>
      </c>
      <c r="E9" s="137"/>
      <c r="F9" s="92" t="s">
        <v>113</v>
      </c>
      <c r="G9" s="103">
        <v>46325</v>
      </c>
      <c r="H9" s="93"/>
      <c r="I9" s="94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7.95" customHeight="1" x14ac:dyDescent="0.3">
      <c r="A10" s="91" t="s">
        <v>177</v>
      </c>
      <c r="B10" s="137" t="s">
        <v>178</v>
      </c>
      <c r="C10" s="137" t="s">
        <v>179</v>
      </c>
      <c r="D10" s="137" t="s">
        <v>180</v>
      </c>
      <c r="E10" s="137" t="s">
        <v>181</v>
      </c>
      <c r="F10" s="92" t="s">
        <v>113</v>
      </c>
      <c r="G10" s="103">
        <v>46325</v>
      </c>
      <c r="H10" s="93"/>
      <c r="I10" s="94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95" customHeight="1" x14ac:dyDescent="0.3">
      <c r="A11" s="91" t="s">
        <v>182</v>
      </c>
      <c r="B11" s="137" t="s">
        <v>183</v>
      </c>
      <c r="C11" s="137" t="s">
        <v>184</v>
      </c>
      <c r="D11" s="137" t="s">
        <v>185</v>
      </c>
      <c r="E11" s="137" t="s">
        <v>181</v>
      </c>
      <c r="F11" s="92" t="s">
        <v>113</v>
      </c>
      <c r="G11" s="103">
        <v>46325</v>
      </c>
      <c r="H11" s="93"/>
      <c r="I11" s="95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14.45" customHeight="1" x14ac:dyDescent="0.3">
      <c r="A12" s="91" t="s">
        <v>186</v>
      </c>
      <c r="B12" s="137" t="s">
        <v>187</v>
      </c>
      <c r="C12" s="137" t="s">
        <v>188</v>
      </c>
      <c r="D12" s="137" t="s">
        <v>189</v>
      </c>
      <c r="E12" s="137"/>
      <c r="F12" s="92" t="s">
        <v>113</v>
      </c>
      <c r="G12" s="103">
        <v>46325</v>
      </c>
      <c r="H12" s="93"/>
      <c r="I12" s="94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1.44999999999999" customHeight="1" x14ac:dyDescent="0.3">
      <c r="A13" s="91" t="s">
        <v>190</v>
      </c>
      <c r="B13" s="137" t="s">
        <v>191</v>
      </c>
      <c r="C13" s="137" t="s">
        <v>192</v>
      </c>
      <c r="D13" s="137" t="s">
        <v>193</v>
      </c>
      <c r="E13" s="137" t="s">
        <v>181</v>
      </c>
      <c r="F13" s="92" t="s">
        <v>113</v>
      </c>
      <c r="G13" s="103">
        <v>46325</v>
      </c>
      <c r="H13" s="96"/>
      <c r="I13" s="9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7"/>
      <c r="B14" s="7"/>
      <c r="C14" s="7"/>
      <c r="D14" s="7"/>
      <c r="E14" s="7"/>
      <c r="F14" s="7"/>
      <c r="G14" s="7"/>
      <c r="H14" s="7"/>
      <c r="I14" s="95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7"/>
      <c r="B15" s="7"/>
      <c r="C15" s="7"/>
      <c r="D15" s="7"/>
      <c r="E15" s="7"/>
      <c r="F15" s="7"/>
      <c r="G15" s="7"/>
      <c r="H15" s="7"/>
      <c r="I15" s="94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7"/>
      <c r="B16" s="7"/>
      <c r="C16" s="7"/>
      <c r="D16" s="7"/>
      <c r="E16" s="7"/>
      <c r="F16" s="7"/>
      <c r="G16" s="7"/>
      <c r="H16" s="7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7"/>
      <c r="B17" s="7"/>
      <c r="C17" s="7"/>
      <c r="D17" s="7"/>
      <c r="E17" s="7"/>
      <c r="F17" s="7"/>
      <c r="G17" s="7"/>
      <c r="H17" s="7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I1000" s="9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9" xr:uid="{00000000-0002-0000-04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8" topLeftCell="A15" activePane="bottomLeft" state="frozen"/>
      <selection pane="bottomLeft" activeCell="F15" sqref="F15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8"/>
      <c r="C1" s="98"/>
      <c r="D1" s="98"/>
      <c r="E1" s="98"/>
      <c r="F1" s="99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8" t="s">
        <v>194</v>
      </c>
      <c r="C2" s="148"/>
      <c r="D2" s="148"/>
      <c r="E2" s="148"/>
      <c r="F2" s="148"/>
      <c r="G2" s="148"/>
      <c r="H2" s="149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5" t="s">
        <v>38</v>
      </c>
      <c r="C3" s="148"/>
      <c r="D3" s="148"/>
      <c r="E3" s="148"/>
      <c r="F3" s="148"/>
      <c r="G3" s="148"/>
      <c r="H3" s="149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5" t="s">
        <v>4</v>
      </c>
      <c r="C4" s="148"/>
      <c r="D4" s="148"/>
      <c r="E4" s="148"/>
      <c r="F4" s="148"/>
      <c r="G4" s="148"/>
      <c r="H4" s="149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6" t="s">
        <v>120</v>
      </c>
      <c r="G5" s="148"/>
      <c r="H5" s="149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0</v>
      </c>
      <c r="C6" s="82">
        <f>F6-E6-D6-B6-A6</f>
        <v>0</v>
      </c>
      <c r="D6" s="82">
        <f>COUNTIF(F9:F996,"Blocked")</f>
        <v>0</v>
      </c>
      <c r="E6" s="83">
        <f>COUNTIF(F9:F996,"Skipped")</f>
        <v>0</v>
      </c>
      <c r="F6" s="167">
        <f>COUNTA(A9:A996)</f>
        <v>7</v>
      </c>
      <c r="G6" s="148"/>
      <c r="H6" s="149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0" t="s">
        <v>121</v>
      </c>
      <c r="B8" s="100" t="s">
        <v>122</v>
      </c>
      <c r="C8" s="100" t="s">
        <v>123</v>
      </c>
      <c r="D8" s="100" t="s">
        <v>124</v>
      </c>
      <c r="E8" s="101" t="s">
        <v>125</v>
      </c>
      <c r="F8" s="101" t="s">
        <v>126</v>
      </c>
      <c r="G8" s="101" t="s">
        <v>127</v>
      </c>
      <c r="H8" s="100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00.95" customHeight="1" x14ac:dyDescent="0.3">
      <c r="A9" s="142" t="s">
        <v>195</v>
      </c>
      <c r="B9" s="137" t="s">
        <v>196</v>
      </c>
      <c r="C9" s="137" t="s">
        <v>197</v>
      </c>
      <c r="D9" s="137" t="s">
        <v>198</v>
      </c>
      <c r="E9" s="138" t="s">
        <v>181</v>
      </c>
      <c r="F9" s="102" t="s">
        <v>113</v>
      </c>
      <c r="G9" s="103">
        <v>46325</v>
      </c>
      <c r="H9" s="107"/>
      <c r="I9" s="94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154.94999999999999" customHeight="1" x14ac:dyDescent="0.3">
      <c r="A10" s="142" t="s">
        <v>199</v>
      </c>
      <c r="B10" s="137" t="s">
        <v>200</v>
      </c>
      <c r="C10" s="137" t="s">
        <v>201</v>
      </c>
      <c r="D10" s="137" t="s">
        <v>202</v>
      </c>
      <c r="E10" s="138" t="s">
        <v>181</v>
      </c>
      <c r="F10" s="102" t="s">
        <v>113</v>
      </c>
      <c r="G10" s="103">
        <v>46325</v>
      </c>
      <c r="H10" s="107"/>
      <c r="I10" s="94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127.95" customHeight="1" x14ac:dyDescent="0.3">
      <c r="A11" s="142" t="s">
        <v>203</v>
      </c>
      <c r="B11" s="137" t="s">
        <v>204</v>
      </c>
      <c r="C11" s="137" t="s">
        <v>205</v>
      </c>
      <c r="D11" s="137" t="s">
        <v>206</v>
      </c>
      <c r="E11" s="138" t="s">
        <v>181</v>
      </c>
      <c r="F11" s="102" t="s">
        <v>113</v>
      </c>
      <c r="G11" s="103">
        <v>46325</v>
      </c>
      <c r="H11" s="104"/>
      <c r="I11" s="94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154.94999999999999" customHeight="1" x14ac:dyDescent="0.3">
      <c r="A12" s="142" t="s">
        <v>207</v>
      </c>
      <c r="B12" s="137" t="s">
        <v>208</v>
      </c>
      <c r="C12" s="137" t="s">
        <v>209</v>
      </c>
      <c r="D12" s="137" t="s">
        <v>210</v>
      </c>
      <c r="E12" s="138" t="s">
        <v>181</v>
      </c>
      <c r="F12" s="102" t="s">
        <v>113</v>
      </c>
      <c r="G12" s="103">
        <v>46325</v>
      </c>
      <c r="H12" s="104"/>
      <c r="I12" s="94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141.44999999999999" customHeight="1" x14ac:dyDescent="0.3">
      <c r="A13" s="142" t="s">
        <v>211</v>
      </c>
      <c r="B13" s="137" t="s">
        <v>212</v>
      </c>
      <c r="C13" s="137" t="s">
        <v>213</v>
      </c>
      <c r="D13" s="137" t="s">
        <v>214</v>
      </c>
      <c r="E13" s="138" t="s">
        <v>181</v>
      </c>
      <c r="F13" s="102" t="s">
        <v>113</v>
      </c>
      <c r="G13" s="103">
        <v>46325</v>
      </c>
      <c r="H13" s="104"/>
      <c r="I13" s="94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127.95" customHeight="1" x14ac:dyDescent="0.3">
      <c r="A14" s="142" t="s">
        <v>215</v>
      </c>
      <c r="B14" s="137" t="s">
        <v>216</v>
      </c>
      <c r="C14" s="137" t="s">
        <v>217</v>
      </c>
      <c r="D14" s="137" t="s">
        <v>218</v>
      </c>
      <c r="E14" s="138" t="s">
        <v>181</v>
      </c>
      <c r="F14" s="102" t="s">
        <v>113</v>
      </c>
      <c r="G14" s="103">
        <v>46325</v>
      </c>
      <c r="H14" s="104"/>
      <c r="I14" s="94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154.94999999999999" customHeight="1" x14ac:dyDescent="0.3">
      <c r="A15" s="142" t="s">
        <v>219</v>
      </c>
      <c r="B15" s="143" t="s">
        <v>220</v>
      </c>
      <c r="C15" s="143" t="s">
        <v>221</v>
      </c>
      <c r="D15" s="143" t="s">
        <v>222</v>
      </c>
      <c r="E15" s="143" t="s">
        <v>181</v>
      </c>
      <c r="F15" s="145" t="s">
        <v>113</v>
      </c>
      <c r="G15" s="173">
        <v>46325</v>
      </c>
      <c r="H15" s="140"/>
      <c r="I15" s="95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06"/>
      <c r="G16" s="7"/>
      <c r="H16" s="7"/>
      <c r="I16" s="94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9"/>
  <sheetViews>
    <sheetView topLeftCell="A4" workbookViewId="0">
      <selection activeCell="G9" sqref="G9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8.6999999999999993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9.6" customHeight="1" x14ac:dyDescent="0.3">
      <c r="A2" s="75" t="s">
        <v>111</v>
      </c>
      <c r="B2" s="165" t="s">
        <v>223</v>
      </c>
      <c r="C2" s="148"/>
      <c r="D2" s="148"/>
      <c r="E2" s="148"/>
      <c r="F2" s="148"/>
      <c r="G2" s="148"/>
      <c r="H2" s="149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16.350000000000001" customHeight="1" x14ac:dyDescent="0.3">
      <c r="A3" s="76" t="s">
        <v>114</v>
      </c>
      <c r="B3" s="165" t="s">
        <v>41</v>
      </c>
      <c r="C3" s="148"/>
      <c r="D3" s="148"/>
      <c r="E3" s="148"/>
      <c r="F3" s="148"/>
      <c r="G3" s="148"/>
      <c r="H3" s="149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1.55" customHeight="1" x14ac:dyDescent="0.3">
      <c r="A4" s="75" t="s">
        <v>116</v>
      </c>
      <c r="B4" s="165" t="s">
        <v>4</v>
      </c>
      <c r="C4" s="148"/>
      <c r="D4" s="148"/>
      <c r="E4" s="148"/>
      <c r="F4" s="148"/>
      <c r="G4" s="148"/>
      <c r="H4" s="149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2.4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6" t="s">
        <v>120</v>
      </c>
      <c r="G5" s="148"/>
      <c r="H5" s="149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9.6" customHeight="1" x14ac:dyDescent="0.3">
      <c r="A6" s="81">
        <f>COUNTIF(F9:F990,"Passed")</f>
        <v>4</v>
      </c>
      <c r="B6" s="82">
        <f>COUNTIF(F9:F990,"Failed")</f>
        <v>0</v>
      </c>
      <c r="C6" s="82">
        <v>4</v>
      </c>
      <c r="D6" s="82">
        <f>COUNTIF(F9:F990,"Blocked")</f>
        <v>0</v>
      </c>
      <c r="E6" s="83">
        <f>COUNTIF(F9:F990,"Skipped")</f>
        <v>0</v>
      </c>
      <c r="F6" s="167">
        <f>COUNTA(A9:A990)</f>
        <v>4</v>
      </c>
      <c r="G6" s="148"/>
      <c r="H6" s="149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9.6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16.350000000000001" customHeight="1" x14ac:dyDescent="0.3">
      <c r="A8" s="86" t="s">
        <v>121</v>
      </c>
      <c r="B8" s="87" t="s">
        <v>122</v>
      </c>
      <c r="C8" s="87" t="s">
        <v>123</v>
      </c>
      <c r="D8" s="87" t="s">
        <v>124</v>
      </c>
      <c r="E8" s="88" t="s">
        <v>125</v>
      </c>
      <c r="F8" s="88" t="s">
        <v>126</v>
      </c>
      <c r="G8" s="88" t="s">
        <v>127</v>
      </c>
      <c r="H8" s="89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96.9" customHeight="1" x14ac:dyDescent="0.3">
      <c r="A9" s="91" t="s">
        <v>224</v>
      </c>
      <c r="B9" s="137" t="s">
        <v>225</v>
      </c>
      <c r="C9" s="137" t="s">
        <v>226</v>
      </c>
      <c r="D9" s="137" t="s">
        <v>227</v>
      </c>
      <c r="E9" s="137" t="s">
        <v>181</v>
      </c>
      <c r="F9" s="92" t="s">
        <v>113</v>
      </c>
      <c r="G9" s="103">
        <v>46325</v>
      </c>
      <c r="H9" s="93"/>
      <c r="I9" s="94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87.9" customHeight="1" x14ac:dyDescent="0.3">
      <c r="A10" s="91" t="s">
        <v>228</v>
      </c>
      <c r="B10" s="137" t="s">
        <v>229</v>
      </c>
      <c r="C10" s="137" t="s">
        <v>230</v>
      </c>
      <c r="D10" s="137" t="s">
        <v>231</v>
      </c>
      <c r="E10" s="137" t="s">
        <v>181</v>
      </c>
      <c r="F10" s="92" t="s">
        <v>113</v>
      </c>
      <c r="G10" s="103">
        <v>46325</v>
      </c>
      <c r="H10" s="93"/>
      <c r="I10" s="94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90.6" customHeight="1" x14ac:dyDescent="0.3">
      <c r="A11" s="91" t="s">
        <v>232</v>
      </c>
      <c r="B11" s="137" t="s">
        <v>233</v>
      </c>
      <c r="C11" s="137" t="s">
        <v>234</v>
      </c>
      <c r="D11" s="137" t="s">
        <v>235</v>
      </c>
      <c r="E11" s="137" t="s">
        <v>236</v>
      </c>
      <c r="F11" s="92" t="s">
        <v>113</v>
      </c>
      <c r="G11" s="103">
        <v>46325</v>
      </c>
      <c r="H11" s="93"/>
      <c r="I11" s="95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90.6" customHeight="1" x14ac:dyDescent="0.3">
      <c r="A12" s="91" t="s">
        <v>237</v>
      </c>
      <c r="B12" s="137" t="s">
        <v>238</v>
      </c>
      <c r="C12" s="137" t="s">
        <v>239</v>
      </c>
      <c r="D12" s="137" t="s">
        <v>240</v>
      </c>
      <c r="E12" s="137" t="s">
        <v>241</v>
      </c>
      <c r="F12" s="92" t="s">
        <v>113</v>
      </c>
      <c r="G12" s="103">
        <v>46325</v>
      </c>
      <c r="H12" s="93"/>
      <c r="I12" s="94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62.05" customHeight="1" x14ac:dyDescent="0.3">
      <c r="A13" s="7"/>
      <c r="B13" s="7"/>
      <c r="C13" s="7"/>
      <c r="D13" s="7"/>
      <c r="E13" s="7"/>
      <c r="F13" s="7"/>
      <c r="G13" s="7"/>
      <c r="H13" s="7"/>
      <c r="I13" s="95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46.85" customHeight="1" x14ac:dyDescent="0.3">
      <c r="A14" s="7"/>
      <c r="B14" s="7"/>
      <c r="C14" s="7"/>
      <c r="D14" s="7"/>
      <c r="E14" s="7"/>
      <c r="F14" s="7"/>
      <c r="G14" s="7"/>
      <c r="H14" s="7"/>
      <c r="I14" s="94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62.05" customHeight="1" x14ac:dyDescent="0.3">
      <c r="A15" s="7"/>
      <c r="B15" s="7"/>
      <c r="C15" s="7"/>
      <c r="D15" s="7"/>
      <c r="E15" s="7"/>
      <c r="F15" s="7"/>
      <c r="G15" s="7"/>
      <c r="H15" s="7"/>
      <c r="I15" s="9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73.5" customHeight="1" x14ac:dyDescent="0.3">
      <c r="A16" s="7"/>
      <c r="B16" s="7"/>
      <c r="C16" s="7"/>
      <c r="D16" s="7"/>
      <c r="E16" s="7"/>
      <c r="F16" s="7"/>
      <c r="G16" s="7"/>
      <c r="H16" s="7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7"/>
      <c r="C17" s="7"/>
      <c r="D17" s="7"/>
      <c r="E17" s="7"/>
      <c r="F17" s="7"/>
      <c r="G17" s="7"/>
      <c r="H17" s="7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7"/>
      <c r="C18" s="7"/>
      <c r="D18" s="7"/>
      <c r="E18" s="7"/>
      <c r="F18" s="7"/>
      <c r="G18" s="7"/>
      <c r="H18" s="7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7" xr:uid="{00000000-0002-0000-06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workbookViewId="0">
      <selection activeCell="C18" sqref="C18"/>
    </sheetView>
  </sheetViews>
  <sheetFormatPr defaultColWidth="14.44140625" defaultRowHeight="14.4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16.350000000000001" customHeight="1" x14ac:dyDescent="0.4">
      <c r="A1" s="7"/>
      <c r="B1" s="170" t="s">
        <v>242</v>
      </c>
      <c r="C1" s="171"/>
      <c r="D1" s="171"/>
      <c r="E1" s="171"/>
      <c r="F1" s="171"/>
      <c r="G1" s="171"/>
      <c r="H1" s="172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9.15" customHeight="1" x14ac:dyDescent="0.3">
      <c r="A2" s="108"/>
      <c r="B2" s="108"/>
      <c r="C2" s="7"/>
      <c r="D2" s="7"/>
      <c r="E2" s="7"/>
      <c r="F2" s="7"/>
      <c r="G2" s="7"/>
      <c r="H2" s="109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8.600000000000001" customHeight="1" x14ac:dyDescent="0.3">
      <c r="A3" s="7"/>
      <c r="B3" s="110" t="s">
        <v>1</v>
      </c>
      <c r="C3" s="162" t="str">
        <f>Cover!C4</f>
        <v>DOLIBARR</v>
      </c>
      <c r="D3" s="149"/>
      <c r="E3" s="169" t="s">
        <v>3</v>
      </c>
      <c r="F3" s="149"/>
      <c r="G3" s="111" t="s">
        <v>4</v>
      </c>
      <c r="H3" s="112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10" t="s">
        <v>5</v>
      </c>
      <c r="C4" s="162" t="str">
        <f>Cover!C5</f>
        <v>DOLIBARR</v>
      </c>
      <c r="D4" s="149"/>
      <c r="E4" s="169" t="s">
        <v>6</v>
      </c>
      <c r="F4" s="149"/>
      <c r="G4" s="111"/>
      <c r="H4" s="112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6.8" customHeight="1" x14ac:dyDescent="0.3">
      <c r="A5" s="7"/>
      <c r="B5" s="113" t="s">
        <v>7</v>
      </c>
      <c r="C5" s="162" t="s">
        <v>243</v>
      </c>
      <c r="D5" s="149"/>
      <c r="E5" s="169" t="s">
        <v>9</v>
      </c>
      <c r="F5" s="149"/>
      <c r="G5" s="114"/>
      <c r="H5" s="115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3.95" customHeight="1" x14ac:dyDescent="0.3">
      <c r="A6" s="108"/>
      <c r="B6" s="113" t="s">
        <v>244</v>
      </c>
      <c r="C6" s="164"/>
      <c r="D6" s="148"/>
      <c r="E6" s="148"/>
      <c r="F6" s="148"/>
      <c r="G6" s="148"/>
      <c r="H6" s="149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9.15" customHeight="1" x14ac:dyDescent="0.3">
      <c r="A7" s="108"/>
      <c r="B7" s="12"/>
      <c r="C7" s="116"/>
      <c r="D7" s="7"/>
      <c r="E7" s="7"/>
      <c r="F7" s="7"/>
      <c r="G7" s="7"/>
      <c r="H7" s="109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8.1" customHeight="1" x14ac:dyDescent="0.3">
      <c r="A8" s="7"/>
      <c r="B8" s="12"/>
      <c r="C8" s="116"/>
      <c r="D8" s="7"/>
      <c r="E8" s="7"/>
      <c r="F8" s="7"/>
      <c r="G8" s="7"/>
      <c r="H8" s="109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3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4" customHeight="1" x14ac:dyDescent="0.3">
      <c r="A10" s="117"/>
      <c r="B10" s="118" t="s">
        <v>26</v>
      </c>
      <c r="C10" s="119" t="s">
        <v>245</v>
      </c>
      <c r="D10" s="120" t="s">
        <v>246</v>
      </c>
      <c r="E10" s="119" t="s">
        <v>247</v>
      </c>
      <c r="F10" s="119" t="s">
        <v>118</v>
      </c>
      <c r="G10" s="121" t="s">
        <v>117</v>
      </c>
      <c r="H10" s="122" t="s">
        <v>119</v>
      </c>
      <c r="I10" s="122" t="s">
        <v>248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1.1" customHeight="1" x14ac:dyDescent="0.3">
      <c r="A11" s="117"/>
      <c r="B11" s="123">
        <v>1</v>
      </c>
      <c r="C11" s="124" t="str">
        <f>'Add Product'!B2</f>
        <v>ADD_PRODUCT</v>
      </c>
      <c r="D11" s="125">
        <f>'Add Product'!A6</f>
        <v>10</v>
      </c>
      <c r="E11" s="125">
        <f>'Add Product'!B6</f>
        <v>1</v>
      </c>
      <c r="F11" s="125">
        <v>0</v>
      </c>
      <c r="G11" s="126">
        <f>'Add Product'!D6</f>
        <v>0</v>
      </c>
      <c r="H11" s="126">
        <f>'Add Product'!E6</f>
        <v>0</v>
      </c>
      <c r="I11" s="127">
        <v>11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45" customHeight="1" x14ac:dyDescent="0.3">
      <c r="A12" s="117"/>
      <c r="B12" s="123">
        <v>2</v>
      </c>
      <c r="C12" s="124" t="str">
        <f>'List Product'!B2</f>
        <v>LIST_PRODUCT</v>
      </c>
      <c r="D12" s="125">
        <f>'List Product'!A6</f>
        <v>5</v>
      </c>
      <c r="E12" s="125">
        <f>'List Product'!B6</f>
        <v>0</v>
      </c>
      <c r="F12" s="125">
        <v>0</v>
      </c>
      <c r="G12" s="126">
        <f>'List Product'!D6</f>
        <v>0</v>
      </c>
      <c r="H12" s="126">
        <f>'List Product'!E6</f>
        <v>0</v>
      </c>
      <c r="I12" s="127">
        <v>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3.95" customHeight="1" x14ac:dyDescent="0.3">
      <c r="A13" s="117"/>
      <c r="B13" s="123">
        <v>3</v>
      </c>
      <c r="C13" s="124" t="str">
        <f>'Edit Product'!B2</f>
        <v>EDIT_PRODUCT</v>
      </c>
      <c r="D13" s="125">
        <f>'Edit Product'!A6</f>
        <v>7</v>
      </c>
      <c r="E13" s="125">
        <f>'Edit Product'!B6</f>
        <v>0</v>
      </c>
      <c r="F13" s="125">
        <v>0</v>
      </c>
      <c r="G13" s="125">
        <f>'Edit Product'!D6</f>
        <v>0</v>
      </c>
      <c r="H13" s="125">
        <f>'Edit Product'!E6</f>
        <v>0</v>
      </c>
      <c r="I13" s="127">
        <v>7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.1" customHeight="1" x14ac:dyDescent="0.3">
      <c r="A14" s="117"/>
      <c r="B14" s="123">
        <v>4</v>
      </c>
      <c r="C14" s="124" t="str">
        <f>'Delete Product'!B2</f>
        <v>DELETE_PRODUCT</v>
      </c>
      <c r="D14" s="125">
        <f>'Delete Product'!A6</f>
        <v>4</v>
      </c>
      <c r="E14" s="125">
        <f>'Delete Product'!B6</f>
        <v>0</v>
      </c>
      <c r="F14" s="125">
        <v>0</v>
      </c>
      <c r="G14" s="126">
        <f>'Delete Product'!D6</f>
        <v>0</v>
      </c>
      <c r="H14" s="126">
        <f>'Delete Product'!E6</f>
        <v>0</v>
      </c>
      <c r="I14" s="127">
        <v>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1.55" customHeight="1" x14ac:dyDescent="0.3">
      <c r="A15" s="117"/>
      <c r="B15" s="128"/>
      <c r="C15" s="129" t="s">
        <v>249</v>
      </c>
      <c r="D15" s="130">
        <f t="shared" ref="D15:H15" si="0">SUM(D11:D14)</f>
        <v>26</v>
      </c>
      <c r="E15" s="130">
        <f t="shared" si="0"/>
        <v>1</v>
      </c>
      <c r="F15" s="130">
        <f t="shared" si="0"/>
        <v>0</v>
      </c>
      <c r="G15" s="130">
        <f t="shared" si="0"/>
        <v>0</v>
      </c>
      <c r="H15" s="131">
        <f t="shared" si="0"/>
        <v>0</v>
      </c>
      <c r="I15" s="131">
        <v>27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6999999999999993" customHeight="1" x14ac:dyDescent="0.3">
      <c r="A16" s="7"/>
      <c r="B16" s="132"/>
      <c r="C16" s="7"/>
      <c r="D16" s="133"/>
      <c r="E16" s="134"/>
      <c r="F16" s="134"/>
      <c r="G16" s="134"/>
      <c r="H16" s="134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1.4" customHeight="1" x14ac:dyDescent="0.3">
      <c r="A17" s="7"/>
      <c r="B17" s="7"/>
      <c r="C17" s="5" t="s">
        <v>250</v>
      </c>
      <c r="D17" s="7"/>
      <c r="E17" s="135">
        <f>IFERROR((D15+E15)*100/(I15-G15-H15),0)</f>
        <v>100</v>
      </c>
      <c r="F17" s="7" t="s">
        <v>251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6.8" customHeight="1" x14ac:dyDescent="0.3">
      <c r="A18" s="7"/>
      <c r="B18" s="7"/>
      <c r="C18" s="5" t="s">
        <v>252</v>
      </c>
      <c r="D18" s="7"/>
      <c r="E18" s="135">
        <f>IFERROR(D15*100/(D15+E15),0)</f>
        <v>96.296296296296291</v>
      </c>
      <c r="F18" s="7" t="s">
        <v>251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Add Product</vt:lpstr>
      <vt:lpstr>List Product</vt:lpstr>
      <vt:lpstr>Edit Product</vt:lpstr>
      <vt:lpstr>Delete Product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Minh Phước</cp:lastModifiedBy>
  <dcterms:modified xsi:type="dcterms:W3CDTF">2026-10-30T05:24:41Z</dcterms:modified>
</cp:coreProperties>
</file>