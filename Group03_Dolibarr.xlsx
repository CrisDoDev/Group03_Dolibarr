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C ASUS\Documents\Kiểm thử\Project nhóm\"/>
    </mc:Choice>
  </mc:AlternateContent>
  <xr:revisionPtr revIDLastSave="0" documentId="13_ncr:1_{533404BA-0303-4B66-A99D-C530A62C9ED0}" xr6:coauthVersionLast="47" xr6:coauthVersionMax="47" xr10:uidLastSave="{00000000-0000-0000-0000-000000000000}"/>
  <bookViews>
    <workbookView xWindow="-108" yWindow="-108" windowWidth="23256" windowHeight="12456" firstSheet="2" activeTab="8" xr2:uid="{00000000-000D-0000-FFFF-FFFF00000000}"/>
  </bookViews>
  <sheets>
    <sheet name="Cover" sheetId="1" r:id="rId1"/>
    <sheet name="Test case List" sheetId="2" r:id="rId2"/>
    <sheet name="TestDesign" sheetId="3" r:id="rId3"/>
    <sheet name="Product" sheetId="4" r:id="rId4"/>
    <sheet name="Contract" sheetId="5" r:id="rId5"/>
    <sheet name="Commercial Proposals" sheetId="6" r:id="rId6"/>
    <sheet name="ProjectandTask" sheetId="7" r:id="rId7"/>
    <sheet name="ContactAddress" sheetId="8" r:id="rId8"/>
    <sheet name="Test Report" sheetId="9" r:id="rId9"/>
  </sheets>
  <definedNames>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3" roundtripDataChecksum="vMl68mtZIl46Eu/QstnqxEki4ThnjkbLPVkIzPF6m2k="/>
    </ext>
  </extLst>
</workbook>
</file>

<file path=xl/calcChain.xml><?xml version="1.0" encoding="utf-8"?>
<calcChain xmlns="http://schemas.openxmlformats.org/spreadsheetml/2006/main">
  <c r="F16" i="9" l="1"/>
  <c r="I14" i="9"/>
  <c r="I16" i="9" s="1"/>
  <c r="H13" i="9"/>
  <c r="G13" i="9"/>
  <c r="E13" i="9"/>
  <c r="D13" i="9"/>
  <c r="H12" i="9"/>
  <c r="G12" i="9"/>
  <c r="E12" i="9"/>
  <c r="D12" i="9"/>
  <c r="C4" i="9"/>
  <c r="C3" i="9"/>
  <c r="F6" i="8"/>
  <c r="C6" i="8" s="1"/>
  <c r="E6" i="8"/>
  <c r="D6" i="8"/>
  <c r="B6" i="8"/>
  <c r="A6" i="8"/>
  <c r="F6" i="5"/>
  <c r="E6" i="5"/>
  <c r="C6" i="5" s="1"/>
  <c r="D6" i="5"/>
  <c r="B6" i="5"/>
  <c r="A6" i="5"/>
  <c r="F6" i="4"/>
  <c r="C6" i="4" s="1"/>
  <c r="E6" i="4"/>
  <c r="H11" i="9" s="1"/>
  <c r="H16" i="9" s="1"/>
  <c r="D6" i="4"/>
  <c r="G11" i="9" s="1"/>
  <c r="G16" i="9" s="1"/>
  <c r="B6" i="4"/>
  <c r="E11" i="9" s="1"/>
  <c r="E16" i="9" s="1"/>
  <c r="A6" i="4"/>
  <c r="D11" i="9" s="1"/>
  <c r="D16" i="9" s="1"/>
  <c r="D4" i="2"/>
  <c r="D3" i="2"/>
  <c r="E19" i="9" l="1"/>
  <c r="E1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ID#doco.jrOaUZwGn1AgQktU8zDZSg
    (2020-11-28 06:09:48)
*A: Add
  M: Modify
  D: Delete</t>
        </r>
      </text>
    </comment>
  </commentList>
  <extLst>
    <ext xmlns:r="http://schemas.openxmlformats.org/officeDocument/2006/relationships" uri="GoogleSheetsCustomDataVersion2">
      <go:sheetsCustomData xmlns:go="http://customooxmlschemas.google.com/" r:id="rId1" roundtripDataSignature="AMtx7miBAR5rmpJwtRfd8yfI1bNj94+CRA=="/>
    </ext>
  </extLst>
</comments>
</file>

<file path=xl/sharedStrings.xml><?xml version="1.0" encoding="utf-8"?>
<sst xmlns="http://schemas.openxmlformats.org/spreadsheetml/2006/main" count="1821" uniqueCount="1157">
  <si>
    <t>TEST CASE</t>
  </si>
  <si>
    <t>Project Name</t>
  </si>
  <si>
    <t>DOLIBARR</t>
  </si>
  <si>
    <t>Creator</t>
  </si>
  <si>
    <t>Do Minh Phuoc</t>
  </si>
  <si>
    <t>Project Code</t>
  </si>
  <si>
    <t>Reviewer/Approver</t>
  </si>
  <si>
    <t>Document Code</t>
  </si>
  <si>
    <t>DOLIBARR_TestCase</t>
  </si>
  <si>
    <t>Issue Date</t>
  </si>
  <si>
    <t>Version</t>
  </si>
  <si>
    <t>Record of change</t>
  </si>
  <si>
    <t>Effective Date</t>
  </si>
  <si>
    <t>Change Item</t>
  </si>
  <si>
    <t>*A,D,M</t>
  </si>
  <si>
    <t>Change description</t>
  </si>
  <si>
    <t>Reference</t>
  </si>
  <si>
    <t>20/10/2026</t>
  </si>
  <si>
    <t>0.1</t>
  </si>
  <si>
    <t>Products</t>
  </si>
  <si>
    <t>A</t>
  </si>
  <si>
    <t>Created 27 Product test cases</t>
  </si>
  <si>
    <t>Assignment 6</t>
  </si>
  <si>
    <t>Contracts</t>
  </si>
  <si>
    <t>Created 26 Contract test cases</t>
  </si>
  <si>
    <t>Project/Task</t>
  </si>
  <si>
    <t>Create 26 Project and Task test cases</t>
  </si>
  <si>
    <t>Commercial Proposals</t>
  </si>
  <si>
    <t>Created 29 Commercial Proposal test cases</t>
  </si>
  <si>
    <t>Contacts/Addresses</t>
  </si>
  <si>
    <t>Created 30 Contact/Address test cases</t>
  </si>
  <si>
    <t>TEST CASE LIST</t>
  </si>
  <si>
    <t>Test Environment Setup Description</t>
  </si>
  <si>
    <t>Dolibarr ERP &amp; CRM demo 24.0.2; Google Chrome; authorized Products module access.</t>
  </si>
  <si>
    <t>No</t>
  </si>
  <si>
    <t>Function Name</t>
  </si>
  <si>
    <t>Sheet Name</t>
  </si>
  <si>
    <t>Description</t>
  </si>
  <si>
    <t>Pre-Condition</t>
  </si>
  <si>
    <t>Add Product</t>
  </si>
  <si>
    <t>Create a product and validate required fields.</t>
  </si>
  <si>
    <t>Sign in and access Products; 
use independent sample references.</t>
  </si>
  <si>
    <t>List / Search Product</t>
  </si>
  <si>
    <t>List Product</t>
  </si>
  <si>
    <t>List, find, view, and verify saved products.</t>
  </si>
  <si>
    <t>Sign in and prepare test 
records when necessary.</t>
  </si>
  <si>
    <t>Edit Product</t>
  </si>
  <si>
    <t>Update product data and verify saved changes.</t>
  </si>
  <si>
    <t>Sign in and prepare an editable 
test product.</t>
  </si>
  <si>
    <t>Delete Product</t>
  </si>
  <si>
    <t>Check deletion and cancel behavior using owned test data.</t>
  </si>
  <si>
    <t>Sign in and prepare disposable, 
tester-owned products.</t>
  </si>
  <si>
    <t>Create, list/search/sort, view, edit and delete (draft) contracts.</t>
  </si>
  <si>
    <t>Sign in; at least 1 Third party exists; the contract list has sample data.</t>
  </si>
  <si>
    <t>Create a draft proposal, add lines, change status (validate, sign, refuse, cancel, clone) and list/filter proposals.</t>
  </si>
  <si>
    <t>Sign in with Commercial &gt; Proposals access; third party ‘AAA Company’ exists; test records tagged QA23130284.</t>
  </si>
  <si>
    <t>Add Contact/Address</t>
  </si>
  <si>
    <t>Add Contact</t>
  </si>
  <si>
    <t>Create a contact/address and validate required fields, email format, length limits and third-party link.</t>
  </si>
  <si>
    <t>Sign in and open Third parties &gt; Contacts/Addresses; 
 use independent sample names.</t>
  </si>
  <si>
    <t>List / Search Contact</t>
  </si>
  <si>
    <t>List Contact</t>
  </si>
  <si>
    <t>List, search (name, email), view and verify saved contacts.</t>
  </si>
  <si>
    <t>Sign in and prepare test 
 contacts when necessary.</t>
  </si>
  <si>
    <t>Edit Contact/Address</t>
  </si>
  <si>
    <t>Edit Contact</t>
  </si>
  <si>
    <t>Update contact data, third-party link and status; verify validation on edit.</t>
  </si>
  <si>
    <t>Sign in and prepare an editable 
 test contact.</t>
  </si>
  <si>
    <t>Delete Contact/Address</t>
  </si>
  <si>
    <t>Delete Contact</t>
  </si>
  <si>
    <t>Check deletion confirmation, cancel, single and mass deletion using owned test data.</t>
  </si>
  <si>
    <t>Sign in and prepare disposable, 
 tester-owned contacts.</t>
  </si>
  <si>
    <t>Create New Project/Lead</t>
  </si>
  <si>
    <t>Tasks_Management</t>
  </si>
  <si>
    <t>Verify the functionality of creating a new project, saving customer information, Lead status, and view permissions</t>
  </si>
  <si>
    <t>Logged into the Dolibarr system with an account having Project Manager permissions</t>
  </si>
  <si>
    <t>Approve project</t>
  </si>
  <si>
    <t>Verify project approval from Draft status to Valid status to allow Task creation; when a project is open, it defaults to valid status</t>
  </si>
  <si>
    <t>Project has been created in Draft status</t>
  </si>
  <si>
    <t>Create new task</t>
  </si>
  <si>
    <t>Verify the functionality of creating a new task assigned to a project, entering estimated time and deadline</t>
  </si>
  <si>
    <t>Project is in draft status for the first time</t>
  </si>
  <si>
    <t>Update task progress</t>
  </si>
  <si>
    <t>Verify updating the percentage completion of a Task and automatically changing status upon reaching 100%, or finished</t>
  </si>
  <si>
    <t>Task already exists in the task list</t>
  </si>
  <si>
    <t>Search &amp; Filter Project list</t>
  </si>
  <si>
    <t>Verify the filter for project list by keyword, status, Third party, and Lead status</t>
  </si>
  <si>
    <t>Project list already exists on the system</t>
  </si>
  <si>
    <t>Close / Change Task status</t>
  </si>
  <si>
    <t>Verify changing Task status to Closed or Reopened</t>
  </si>
  <si>
    <t>Task is currently in Active status</t>
  </si>
  <si>
    <t>Requirement Level 1</t>
  </si>
  <si>
    <t>Requirement Level 2</t>
  </si>
  <si>
    <t>Requirement Level 3</t>
  </si>
  <si>
    <t>Test Criteria</t>
  </si>
  <si>
    <t>Test Type</t>
  </si>
  <si>
    <t>Note</t>
  </si>
  <si>
    <t>1. Products</t>
  </si>
  <si>
    <t>1.1 Create</t>
  </si>
  <si>
    <t>Successful create / Minimum data</t>
  </si>
  <si>
    <t>Check create a product using mandatory fields only.</t>
  </si>
  <si>
    <t>Function</t>
  </si>
  <si>
    <t>Successful create / Optional text</t>
  </si>
  <si>
    <t>Check create with description, note and public URL.</t>
  </si>
  <si>
    <t>Required field / Product ref.</t>
  </si>
  <si>
    <t>Check reject creation when Product ref. is empty.</t>
  </si>
  <si>
    <t>Required field / Label</t>
  </si>
  <si>
    <t>Check reject creation when Label is empty.</t>
  </si>
  <si>
    <t>Required fields / Both empty</t>
  </si>
  <si>
    <t>Check prevent creation when both required fields are empty.</t>
  </si>
  <si>
    <t>Validation recovery</t>
  </si>
  <si>
    <t>Check correct a missing required field after validation.</t>
  </si>
  <si>
    <t>Sell status option</t>
  </si>
  <si>
    <t>Check create a product with an alternative Sell status.</t>
  </si>
  <si>
    <t>Purchase status option</t>
  </si>
  <si>
    <t>Check create a product with an alternative Purchase status.</t>
  </si>
  <si>
    <t>Valid monetary fields</t>
  </si>
  <si>
    <t>Check create a product with a positive selling price.</t>
  </si>
  <si>
    <t>Invalid monetary input</t>
  </si>
  <si>
    <t>Check do not store alphabetic text as a numeric selling price.</t>
  </si>
  <si>
    <t>Cancel creation</t>
  </si>
  <si>
    <t>Check cancel a filled New product form without saving.</t>
  </si>
  <si>
    <t>1.2 Read</t>
  </si>
  <si>
    <t>List display</t>
  </si>
  <si>
    <t>Check open Products list and verify core columns.</t>
  </si>
  <si>
    <t>GUI</t>
  </si>
  <si>
    <t>Search by reference</t>
  </si>
  <si>
    <t>Check find a prepared product using its exact Product ref..</t>
  </si>
  <si>
    <t>Search by label</t>
  </si>
  <si>
    <t>Check filter Products using a prepared label.</t>
  </si>
  <si>
    <t>Search / No match</t>
  </si>
  <si>
    <t>Check return no unrelated records for an unmatched reference.</t>
  </si>
  <si>
    <t>Details / Persistence</t>
  </si>
  <si>
    <t>Check verify saved product details after page reload.</t>
  </si>
  <si>
    <t>1.3 Update</t>
  </si>
  <si>
    <t>Open edit form</t>
  </si>
  <si>
    <t>Check open MODIFY for an existing product.</t>
  </si>
  <si>
    <t>Update Label</t>
  </si>
  <si>
    <t>Check save a changed product Label and verify persistence.</t>
  </si>
  <si>
    <t>Update Description</t>
  </si>
  <si>
    <t>Check edit product Description without altering reference.</t>
  </si>
  <si>
    <t>Update Selling price</t>
  </si>
  <si>
    <t>Check update selling price to a valid positive value.</t>
  </si>
  <si>
    <t>Update Sell status</t>
  </si>
  <si>
    <t>Check change Sell status of an existing product.</t>
  </si>
  <si>
    <t>Required Label on edit</t>
  </si>
  <si>
    <t>Check reject clearing required Label during an update.</t>
  </si>
  <si>
    <t>Cancel edit</t>
  </si>
  <si>
    <t>Check cancel changes in product edit form.</t>
  </si>
  <si>
    <t>1.4 Delete</t>
  </si>
  <si>
    <t>Delete action / Confirmation</t>
  </si>
  <si>
    <t>Check check deletion requires an explicit confirmation step.</t>
  </si>
  <si>
    <t>Cancel deletion</t>
  </si>
  <si>
    <t>Check cancel the delete operation and preserve the product.</t>
  </si>
  <si>
    <t>Delete successful / Unlinked data</t>
  </si>
  <si>
    <t>Check delete one disposable product and verify removal.</t>
  </si>
  <si>
    <t>Delete isolation / Other product</t>
  </si>
  <si>
    <t>Check deleting one product does not remove a separate product.</t>
  </si>
  <si>
    <t>2. Third Parties</t>
  </si>
  <si>
    <t>2.1 Create</t>
  </si>
  <si>
    <t>Create / Minimum required information</t>
  </si>
  <si>
    <t>Check create a Third Party with required name and one selected role.</t>
  </si>
  <si>
    <t>Create / Optional details</t>
  </si>
  <si>
    <t>Check create a Third Party with optional address and contact fields completed.</t>
  </si>
  <si>
    <t>Required field / Third-party name</t>
  </si>
  <si>
    <t>Check prevent creation when Third-party name is empty.</t>
  </si>
  <si>
    <t>Name / Whitespace input</t>
  </si>
  <si>
    <t>Check how the form validates a whitespace-only Third-party name.</t>
  </si>
  <si>
    <t>New Prospect shortcut</t>
  </si>
  <si>
    <t>Check the New Prospect form preselects and saves the Prospect role.</t>
  </si>
  <si>
    <t>New Customer shortcut</t>
  </si>
  <si>
    <t>Check the New Customer form retains Customer classification after creation.</t>
  </si>
  <si>
    <t>New Vendor shortcut</t>
  </si>
  <si>
    <t>Check the New Vendor form retains Vendor classification after creation.</t>
  </si>
  <si>
    <t>Business roles / Multiple selection</t>
  </si>
  <si>
    <t>Check create a Third Party with supported role combinations.</t>
  </si>
  <si>
    <t>Customer / Vendor codes</t>
  </si>
  <si>
    <t>Check saved Customer Code or Vendor Code matches the selected role.</t>
  </si>
  <si>
    <t>Email / Invalid format</t>
  </si>
  <si>
    <t>Check the form response to a malformed email value when an email is provided.</t>
  </si>
  <si>
    <t>Check cancelling a completed New Third Party form does not save a record.</t>
  </si>
  <si>
    <t>2.2 Read</t>
  </si>
  <si>
    <t>Third Party list / Display</t>
  </si>
  <si>
    <t>Check Third Parties list opens with available records and columns.</t>
  </si>
  <si>
    <t>Search / Third-party name</t>
  </si>
  <si>
    <t>Check locate a prepared Third Party by its exact name.</t>
  </si>
  <si>
    <t>Filter / Business roles</t>
  </si>
  <si>
    <t>Check Prospect, Customer and Vendor filters return matching records.</t>
  </si>
  <si>
    <t>Check the result when a Third Party name does not match any record.</t>
  </si>
  <si>
    <t>Details / Data persistence</t>
  </si>
  <si>
    <t>Check created Third Party details persist after a page refresh.</t>
  </si>
  <si>
    <t>2.3 Update</t>
  </si>
  <si>
    <t>Modify / Edit form</t>
  </si>
  <si>
    <t>Check MODIFY opens the correct Third Party record with its saved values.</t>
  </si>
  <si>
    <t>Update / Third-party name</t>
  </si>
  <si>
    <t>Check update Third-party name and verify the revised name on its details page.</t>
  </si>
  <si>
    <t>Update / Address</t>
  </si>
  <si>
    <t>Check edited address and city are saved without unrelated changes.</t>
  </si>
  <si>
    <t>Update / Business roles</t>
  </si>
  <si>
    <t>Check updated Prospect, Customer or Vendor roles persist.</t>
  </si>
  <si>
    <t>Update / Contact information</t>
  </si>
  <si>
    <t>Check update phone or email and verify saved details after refreshing.</t>
  </si>
  <si>
    <t>Required name / Update</t>
  </si>
  <si>
    <t>Check prevent saving a Third Party with a cleared required name.</t>
  </si>
  <si>
    <t>Cancel modification</t>
  </si>
  <si>
    <t>Check cancel modification without overwriting the existing Third Party data.</t>
  </si>
  <si>
    <t>2.4 Delete</t>
  </si>
  <si>
    <t>Delete / Available action</t>
  </si>
  <si>
    <t>Check DELETE and its confirmation flow for an authorized Third Party.</t>
  </si>
  <si>
    <t>Check cancelling deletion preserves the Third Party record.</t>
  </si>
  <si>
    <t>Delete / Own unlinked data</t>
  </si>
  <si>
    <t>Check delete an authorized disposable Third Party with no dependencies.</t>
  </si>
  <si>
    <t>Delete / Linked data</t>
  </si>
  <si>
    <t>Check deletion restrictions for a linked Third Party, if safe to test.</t>
  </si>
  <si>
    <t>3. Projects</t>
  </si>
  <si>
    <t>3.1 Create</t>
  </si>
  <si>
    <t>Check create a draft with Label and explicitly selected Lead status.</t>
  </si>
  <si>
    <t>Check creation without Label when Lead status is selected.</t>
  </si>
  <si>
    <t>Required selection / Lead status</t>
  </si>
  <si>
    <t>Check prevent creation when Label is filled but Lead status is not selected.</t>
  </si>
  <si>
    <t>Required inputs / Both omitted</t>
  </si>
  <si>
    <t>Check prevent creation when Label and Lead status are both missing.</t>
  </si>
  <si>
    <t>Lead status / Different options</t>
  </si>
  <si>
    <t>Check create a draft using an alternative available Lead status.</t>
  </si>
  <si>
    <t>Financial fields / Valid input</t>
  </si>
  <si>
    <t>Check create a draft with valid Lead amount and Budget values.</t>
  </si>
  <si>
    <t>Financial fields / Invalid input</t>
  </si>
  <si>
    <t>Check how Lead amount and Budget handle nonnumeric text input.</t>
  </si>
  <si>
    <t>Third party / Association</t>
  </si>
  <si>
    <t>Check create a draft linked to a selected Third Party.</t>
  </si>
  <si>
    <t>Usage / Selected options</t>
  </si>
  <si>
    <t>Check save available Usage settings, including Follow opportunity.</t>
  </si>
  <si>
    <t>Check cancelling the New lead or project form does not create a draft.</t>
  </si>
  <si>
    <t>3.2 Read</t>
  </si>
  <si>
    <t>Project list / Display</t>
  </si>
  <si>
    <t>Check the Leads / Projects list shows references, labels and statuses.</t>
  </si>
  <si>
    <t>Search / Project reference</t>
  </si>
  <si>
    <t>Check find a prepared draft by its project Ref.</t>
  </si>
  <si>
    <t>Search / Project label</t>
  </si>
  <si>
    <t>Check search for a prepared project using its Label.</t>
  </si>
  <si>
    <t>Filter / Project status</t>
  </si>
  <si>
    <t>Check filtering by available Draft and Open project status values.</t>
  </si>
  <si>
    <t>Project details / Persistence</t>
  </si>
  <si>
    <t>Check saved project details are retained after reloading the page.</t>
  </si>
  <si>
    <t>3.3 Update</t>
  </si>
  <si>
    <t>Check MODIFY opens the correct project with previously stored values.</t>
  </si>
  <si>
    <t>Update / Project label</t>
  </si>
  <si>
    <t>Check update Label and verify its persistence in project details and list.</t>
  </si>
  <si>
    <t>Update / Lead status</t>
  </si>
  <si>
    <t>Check updated Lead status and displayed probability persist.</t>
  </si>
  <si>
    <t>Update / Lead amount and Budget</t>
  </si>
  <si>
    <t>Check updated Lead amount and Budget retain their saved values.</t>
  </si>
  <si>
    <t>Update / Start and end dates</t>
  </si>
  <si>
    <t>Check saved project dates; test chronology only if a rule is confirmed.</t>
  </si>
  <si>
    <t>Required Label / Update</t>
  </si>
  <si>
    <t>Check prevent clearing the required Label when saving a modification.</t>
  </si>
  <si>
    <t>Check cancelling the edit form preserves the original project data.</t>
  </si>
  <si>
    <t>Validate / Draft status</t>
  </si>
  <si>
    <t>Check VALIDATE for an authorized Draft and verify the new status.</t>
  </si>
  <si>
    <t>3.4 Delete</t>
  </si>
  <si>
    <t>Check DELETE and its confirmation flow for a disposable project.</t>
  </si>
  <si>
    <t>Check cancelling the deletion of a draft preserves the project.</t>
  </si>
  <si>
    <t>Delete / Own draft</t>
  </si>
  <si>
    <t>Check delete an authorized disposable Draft project with no dependent records.</t>
  </si>
  <si>
    <t>Delete / Related records</t>
  </si>
  <si>
    <t>Check deletion restrictions for a project with links, if safe to test.</t>
  </si>
  <si>
    <t>4. Contracts</t>
  </si>
  <si>
    <t>4.1 Create</t>
  </si>
  <si>
    <t>Screen / Displaying</t>
  </si>
  <si>
    <t>Check displaying New contract screen by clicking [New contract or subscription]</t>
  </si>
  <si>
    <t>Screen / Layout and defaults</t>
  </si>
  <si>
    <t>Check layout and default values of New contract screen</t>
  </si>
  <si>
    <t>Check create a draft contract with only the required field (Third party)</t>
  </si>
  <si>
    <t>Successful create / Note (internal)</t>
  </si>
  <si>
    <t>Check create a contract with Note (internal) filled</t>
  </si>
  <si>
    <t>Required field / Third party</t>
  </si>
  <si>
    <t>Check reject creation when Third party is empty</t>
  </si>
  <si>
    <t>Result in list</t>
  </si>
  <si>
    <t>Check new contract is displayed in the Contracts list after creating</t>
  </si>
  <si>
    <t>Check cancel a New contract form without saving</t>
  </si>
  <si>
    <t>Create continuously</t>
  </si>
  <si>
    <t>Check create two contracts continuously</t>
  </si>
  <si>
    <t>Field value / Date</t>
  </si>
  <si>
    <t>Check create a contract with a past Date</t>
  </si>
  <si>
    <t>Field value / Note (internal)</t>
  </si>
  <si>
    <t>Check Note (internal) with special characters</t>
  </si>
  <si>
    <t>Check Note (internal) with a very long value (1000 characters)</t>
  </si>
  <si>
    <t>4.2 Read</t>
  </si>
  <si>
    <t>Check open Contracts list via menu and verify the page title and table</t>
  </si>
  <si>
    <t>List layout</t>
  </si>
  <si>
    <t>Check layout of Contracts list screen</t>
  </si>
  <si>
    <t>Search by Ref.</t>
  </si>
  <si>
    <t>Check find a contract using an existing Ref.</t>
  </si>
  <si>
    <t>Check return no record for a non-existent Ref.</t>
  </si>
  <si>
    <t>Search by Third party</t>
  </si>
  <si>
    <t>Check filter contracts by Third party</t>
  </si>
  <si>
    <t>Filter by Status</t>
  </si>
  <si>
    <t>Check filter contracts by Status = Draft</t>
  </si>
  <si>
    <t>Clear filter</t>
  </si>
  <si>
    <t>Check clear the applied filter</t>
  </si>
  <si>
    <t>Sorting</t>
  </si>
  <si>
    <t>Check change sort by Ref. (ascending, descending)</t>
  </si>
  <si>
    <t>Check change sort by Contract date (ascending, descending)</t>
  </si>
  <si>
    <t>Details</t>
  </si>
  <si>
    <t>Check view Contract detail screen from the list</t>
  </si>
  <si>
    <t>Navigation</t>
  </si>
  <si>
    <t>Check go back to the list from Contract detail screen</t>
  </si>
  <si>
    <t>4.3 Update</t>
  </si>
  <si>
    <t>Update Ref. customer</t>
  </si>
  <si>
    <t>Check modify Ref. customer of a draft contract</t>
  </si>
  <si>
    <t>Check cancel modify Ref. customer</t>
  </si>
  <si>
    <t>4.4 Delete</t>
  </si>
  <si>
    <t>Delete successful</t>
  </si>
  <si>
    <t>Check delete a draft contract and confirm</t>
  </si>
  <si>
    <t>Check cancel delete contract and the contract is preserved</t>
  </si>
  <si>
    <t>5. Purchase Orders</t>
  </si>
  <si>
    <t>5.1 Create</t>
  </si>
  <si>
    <t>Check displaying New purchase order screen and its fields</t>
  </si>
  <si>
    <t>Required field / Vendor</t>
  </si>
  <si>
    <t>Check reject creation when Vendor is empty</t>
  </si>
  <si>
    <t>Check create a draft purchase order with only mandatory fields</t>
  </si>
  <si>
    <t>Check cancel create purchase order</t>
  </si>
  <si>
    <t>5.2 Read</t>
  </si>
  <si>
    <t>Check open Purchase Orders list via menu</t>
  </si>
  <si>
    <t>Check find a purchase order by Ref.</t>
  </si>
  <si>
    <t>5.3 Update</t>
  </si>
  <si>
    <t>Order lines</t>
  </si>
  <si>
    <t>Check add a free text line (quantity 2, unit price 100) - total excl. tax = 200</t>
  </si>
  <si>
    <t>Check delete an order line - total back to 0</t>
  </si>
  <si>
    <t>5.4 Delete</t>
  </si>
  <si>
    <t>Check delete a draft purchase order</t>
  </si>
  <si>
    <t>6. Supplier Invoices</t>
  </si>
  <si>
    <t>6.1 Create</t>
  </si>
  <si>
    <t>Check displaying New supplier invoice screen and its fields</t>
  </si>
  <si>
    <t>Required field / Ref. supplier</t>
  </si>
  <si>
    <t>Check reject creation when Ref. supplier is empty</t>
  </si>
  <si>
    <t>Check create a draft supplier invoice with only mandatory fields</t>
  </si>
  <si>
    <t>Check cancel create supplier invoice</t>
  </si>
  <si>
    <t>6.2 Read</t>
  </si>
  <si>
    <t>Check open Supplier invoices list via menu</t>
  </si>
  <si>
    <t>Check find a supplier invoice by Ref. supplier</t>
  </si>
  <si>
    <t>Check filter by Status = Draft</t>
  </si>
  <si>
    <t>6.3 Update</t>
  </si>
  <si>
    <t>Invoice lines</t>
  </si>
  <si>
    <t>Check add a free text line (quantity 3, unit price 50) - total excl. tax = 150</t>
  </si>
  <si>
    <t>6.4 Delete</t>
  </si>
  <si>
    <t>Check delete a draft supplier invoice</t>
  </si>
  <si>
    <t>7. Commercial Proposals</t>
  </si>
  <si>
    <t>7.1 Create proposal</t>
  </si>
  <si>
    <t>Form display</t>
  </si>
  <si>
    <t>Check default values of the New commercial proposal form</t>
  </si>
  <si>
    <t>Successful create</t>
  </si>
  <si>
    <t>Check create a draft proposal using mandatory fields only</t>
  </si>
  <si>
    <t>Required field</t>
  </si>
  <si>
    <t>Check reject creation when Customer is empty</t>
  </si>
  <si>
    <t>Validity duration</t>
  </si>
  <si>
    <t>Check reject Validity duration = non-numeric text</t>
  </si>
  <si>
    <t>Check Validity duration = 0 (lower boundary)</t>
  </si>
  <si>
    <t>Check Validity duration = -1 (below lower boundary)</t>
  </si>
  <si>
    <t>Check Validity duration = 1 (minimum valid value)</t>
  </si>
  <si>
    <t>Check cancel the creation of a proposal</t>
  </si>
  <si>
    <t>7.2 Add line</t>
  </si>
  <si>
    <t>Line fields</t>
  </si>
  <si>
    <t>Check reject a free-text line without Type and Description</t>
  </si>
  <si>
    <t>Line calculation</t>
  </si>
  <si>
    <t>Check add a valid free-text line (price 100, qty 1, VAT 20%)</t>
  </si>
  <si>
    <t>Quantity</t>
  </si>
  <si>
    <t>Check Qty = -1 (below lower boundary)</t>
  </si>
  <si>
    <t>Check reject Qty = non-numeric text</t>
  </si>
  <si>
    <t>Discount</t>
  </si>
  <si>
    <t>Check Discount = 10%</t>
  </si>
  <si>
    <t>Check Discount = 101% (above upper boundary)</t>
  </si>
  <si>
    <t>Check Discount = -1% (below lower boundary)</t>
  </si>
  <si>
    <t>Check totals with mixed VAT rates (20% and 10%)</t>
  </si>
  <si>
    <t>7.3 Change status</t>
  </si>
  <si>
    <t>Validate</t>
  </si>
  <si>
    <t>Check [Validate] is hidden on a draft without lines and shown after the first line</t>
  </si>
  <si>
    <t>Check cancel the validate confirmation with [No]</t>
  </si>
  <si>
    <t>Check validate a draft proposal with [Yes]</t>
  </si>
  <si>
    <t>Modify</t>
  </si>
  <si>
    <t>Check [Modify] on a validated proposal (Validated -&gt; Draft)</t>
  </si>
  <si>
    <t>Set accepted/refused</t>
  </si>
  <si>
    <t>Check reject [Set accepted/refused] without choosing a status</t>
  </si>
  <si>
    <t>Check set status 'Not signed' (Validated -&gt; Not signed)</t>
  </si>
  <si>
    <t>Check set status 'Signed' (Validated -&gt; Signed)</t>
  </si>
  <si>
    <t>Cancel</t>
  </si>
  <si>
    <t>Check cancel a proposal (Not signed -&gt; Canceled)</t>
  </si>
  <si>
    <t>Clone</t>
  </si>
  <si>
    <t>Check clone a signed proposal</t>
  </si>
  <si>
    <t>1.4 List and filter</t>
  </si>
  <si>
    <t>Filter by Ref</t>
  </si>
  <si>
    <t>Check filter the proposal list by an existing Ref</t>
  </si>
  <si>
    <t>Check filter the proposal list by a non-existing Ref</t>
  </si>
  <si>
    <t>Combined filters</t>
  </si>
  <si>
    <t>Check combine Ref with Status and Amount filters</t>
  </si>
  <si>
    <t>Status filter</t>
  </si>
  <si>
    <t>Check the Status filter offers every status that can appear in the list</t>
  </si>
  <si>
    <t>8. Sales Orders</t>
  </si>
  <si>
    <t>8.1 Create order</t>
  </si>
  <si>
    <t>From proposal</t>
  </si>
  <si>
    <t>Check Create order is offered only on a signed proposal</t>
  </si>
  <si>
    <t>Check the order form is pre-filled when created from a signed proposal</t>
  </si>
  <si>
    <t>Check creating a draft order from a proposal copies lines and totals</t>
  </si>
  <si>
    <t>Direct creation</t>
  </si>
  <si>
    <t>Check create a draft order directly using mandatory fields only</t>
  </si>
  <si>
    <t>Order date</t>
  </si>
  <si>
    <t>Check reject an invalid Date of order</t>
  </si>
  <si>
    <t>Check cancel the creation of an order</t>
  </si>
  <si>
    <t>8.2 Add line</t>
  </si>
  <si>
    <t>Check add a valid free-text line (price, qty, VAT)</t>
  </si>
  <si>
    <t>Check totals with mixed VAT rates</t>
  </si>
  <si>
    <t>Edit / delete line</t>
  </si>
  <si>
    <t>Check edit Qty and delete a line of a draft order</t>
  </si>
  <si>
    <t>8.3 Change status</t>
  </si>
  <si>
    <t>Check the validate confirmation dialog of an order</t>
  </si>
  <si>
    <t>Check validate a draft order with [Yes]</t>
  </si>
  <si>
    <t>Check [Modify] on a validated order (Validated -&gt; Draft)</t>
  </si>
  <si>
    <t>Delivered</t>
  </si>
  <si>
    <t>Check [Classify delivered] (Validated -&gt; Delivered)</t>
  </si>
  <si>
    <t>Re-open</t>
  </si>
  <si>
    <t>Check [Re-open] on a delivered order (Delivered -&gt; Validated)</t>
  </si>
  <si>
    <t>Check [Cancel order] (Validated -&gt; Canceled)</t>
  </si>
  <si>
    <t>Billed</t>
  </si>
  <si>
    <t>Check [Classify billed] on an order</t>
  </si>
  <si>
    <t>Check clone an order</t>
  </si>
  <si>
    <t>Delete</t>
  </si>
  <si>
    <t>Check delete a draft order created by the tester</t>
  </si>
  <si>
    <t>2.4 List and filter</t>
  </si>
  <si>
    <t>Check filter the order list by an existing Ref</t>
  </si>
  <si>
    <t>Check filter the order list by a non-existing Ref</t>
  </si>
  <si>
    <t>9. Customer Invoices</t>
  </si>
  <si>
    <t>9.1 Create invoice</t>
  </si>
  <si>
    <t>Invoice type</t>
  </si>
  <si>
    <t>Check the invoice types available on the New invoice form</t>
  </si>
  <si>
    <t>From order</t>
  </si>
  <si>
    <t>Check create a draft invoice from an order (Standard, 100%)</t>
  </si>
  <si>
    <t>Check the invoice copies lines and totals from the order</t>
  </si>
  <si>
    <t>Check create a draft Standard invoice directly using mandatory fields only</t>
  </si>
  <si>
    <t>Deposit invoice</t>
  </si>
  <si>
    <t>Check create a Deposit invoice from an order</t>
  </si>
  <si>
    <t>Invoice date</t>
  </si>
  <si>
    <t>Check reject an invalid invoice Date</t>
  </si>
  <si>
    <t>Check cancel the creation of an invoice</t>
  </si>
  <si>
    <t>9.2 Add line</t>
  </si>
  <si>
    <t>9.3 Change status</t>
  </si>
  <si>
    <t>Check the validate confirmation dialog of an invoice</t>
  </si>
  <si>
    <t>Check validate a draft invoice with [Yes]</t>
  </si>
  <si>
    <t>Check [Modify] on a validated invoice (Validated -&gt; Draft)</t>
  </si>
  <si>
    <t>Payment</t>
  </si>
  <si>
    <t>Check record a full payment on a validated invoice (Not paid -&gt; Paid)</t>
  </si>
  <si>
    <t>Check a partial payment keeps the invoice 'Not paid'</t>
  </si>
  <si>
    <t>Abandon</t>
  </si>
  <si>
    <t>Check [Classify abandoned] on an unpaid invoice</t>
  </si>
  <si>
    <t>Credit note</t>
  </si>
  <si>
    <t>Check create a credit note from a validated invoice</t>
  </si>
  <si>
    <t>Check delete a draft invoice created by the tester</t>
  </si>
  <si>
    <t>9.4 List and filter</t>
  </si>
  <si>
    <t>Check filter the invoice list by an existing Ref</t>
  </si>
  <si>
    <t>Check filter the invoice list by a non-existing Ref</t>
  </si>
  <si>
    <t>Check the Status filter options of the invoice list</t>
  </si>
  <si>
    <t>Mass action</t>
  </si>
  <si>
    <t>Check [Confirm] is disabled when no mass action is selected</t>
  </si>
  <si>
    <t>Check bulk Validate of a draft invoice from the invoice list</t>
  </si>
  <si>
    <t>10.  Contacts/Addresses</t>
  </si>
  <si>
    <t>10.1 Create</t>
  </si>
  <si>
    <t>Check create a contact using Last name only.</t>
  </si>
  <si>
    <t>Successful create / Full data</t>
  </si>
  <si>
    <t>Check create a contact with third party, address, phones, email and birth date.</t>
  </si>
  <si>
    <t>Required field / Last name</t>
  </si>
  <si>
    <t>Check reject creation when Last name / Label is empty.</t>
  </si>
  <si>
    <t>Required field / Spaces only</t>
  </si>
  <si>
    <t>Check reject a Last name containing only spaces.</t>
  </si>
  <si>
    <t>Email format / Invalid</t>
  </si>
  <si>
    <t>Check reject an email without domain.</t>
  </si>
  <si>
    <t>Email format / Valid special chars</t>
  </si>
  <si>
    <t>Check accept an email containing '+' and '.'.</t>
  </si>
  <si>
    <t>Boundary / 80 characters</t>
  </si>
  <si>
    <t>Check accept a Last name of exactly 80 characters.</t>
  </si>
  <si>
    <t>Boundary / 81 characters</t>
  </si>
  <si>
    <t>Check field limits Last name to 80 characters.</t>
  </si>
  <si>
    <t>Unicode data</t>
  </si>
  <si>
    <t>Check store and display Vietnamese characters.</t>
  </si>
  <si>
    <t>Security / HTML input</t>
  </si>
  <si>
    <t>Check HTML/script in Last name is not executed.</t>
  </si>
  <si>
    <t>Security</t>
  </si>
  <si>
    <t>Integration / Third party</t>
  </si>
  <si>
    <t>Check new contact appears under the selected third party.</t>
  </si>
  <si>
    <t>Check cancel a filled form without saving.</t>
  </si>
  <si>
    <t>10.2 Read</t>
  </si>
  <si>
    <t>Check open contact list and verify core columns.</t>
  </si>
  <si>
    <t>Search by Last name</t>
  </si>
  <si>
    <t>Check find a prepared contact by Last name.</t>
  </si>
  <si>
    <t>Search by Email</t>
  </si>
  <si>
    <t>Check find a prepared contact by Email.</t>
  </si>
  <si>
    <t>Check no record returned for an unmatched keyword.</t>
  </si>
  <si>
    <t>Check saved details remain after page reload.</t>
  </si>
  <si>
    <t>10.3 Update</t>
  </si>
  <si>
    <t>Check open MODIFY with pre-filled values.</t>
  </si>
  <si>
    <t>Update name / job</t>
  </si>
  <si>
    <t>Check save changed Last name and Job position.</t>
  </si>
  <si>
    <t>Update third party link</t>
  </si>
  <si>
    <t>Check move contact to another third party.</t>
  </si>
  <si>
    <t>Required Last name on edit</t>
  </si>
  <si>
    <t>Check reject clearing Last name during update.</t>
  </si>
  <si>
    <t>Email format on edit</t>
  </si>
  <si>
    <t>Check reject invalid email during update.</t>
  </si>
  <si>
    <t>Check cancel changes in the edit form.</t>
  </si>
  <si>
    <t>Status Enabled / Disabled</t>
  </si>
  <si>
    <t>Check disable then reactivate a contact.</t>
  </si>
  <si>
    <t>10.4 Delete</t>
  </si>
  <si>
    <t>Check deletion requires an explicit confirmation step.</t>
  </si>
  <si>
    <t>Check cancel the delete operation and keep the contact.</t>
  </si>
  <si>
    <t>Check delete one disposable contact and verify removal.</t>
  </si>
  <si>
    <t>Delete linked contact</t>
  </si>
  <si>
    <t>Check deleting a contact keeps its third party.</t>
  </si>
  <si>
    <t>Mass delete</t>
  </si>
  <si>
    <t>Check delete several contacts with a mass action.</t>
  </si>
  <si>
    <t>11. Projects / Tasks Management</t>
  </si>
  <si>
    <t>11.1 Create Project</t>
  </si>
  <si>
    <t>Check displaying New lead or project screen by clicking [New lead or project]</t>
  </si>
  <si>
    <t>Check creating a new project successfully with all valid fields (Ref, Title, Third party, Visibility, Lead status, Lead amount)</t>
  </si>
  <si>
    <t>Check creating a project with required field only (Title) and optional fields empty</t>
  </si>
  <si>
    <t>Required field / Title</t>
  </si>
  <si>
    <t>Check reject creation when 'Title' field is left empty</t>
  </si>
  <si>
    <t>Field value / Visibility</t>
  </si>
  <si>
    <t>Check creating a project with visibility set to 'Project contacts only'</t>
  </si>
  <si>
    <t>Check cancel creating a project form without saving</t>
  </si>
  <si>
    <t>Checkbox / Opportunity &amp; Time spent</t>
  </si>
  <si>
    <t>Check creating a draft project with both 'Follow opportunity' and 'Follow tasks or time spent' unchecked</t>
  </si>
  <si>
    <t>Business Logic / Validation</t>
  </si>
  <si>
    <t>Check error message when 'Follow opportunity' is checked but 'Lead status' is left empty</t>
  </si>
  <si>
    <t>11.2 Validate Project</t>
  </si>
  <si>
    <t>Change Status / Draft to Open</t>
  </si>
  <si>
    <t>Check validate a single draft project directly from its detail screen</t>
  </si>
  <si>
    <t>Bulk Operation / Validate</t>
  </si>
  <si>
    <t>Check select multiple draft projects using checkboxes and validate them simultaneously via bulk action</t>
  </si>
  <si>
    <t>Inline Editing / Ref Customer</t>
  </si>
  <si>
    <t>Check quick edit 'Ref. customer' field directly on Open projects list</t>
  </si>
  <si>
    <t>Bulk Operation / Validation error</t>
  </si>
  <si>
    <t>Check error when attempting bulk validation without selecting any projects</t>
  </si>
  <si>
    <t>11.3 Create Task</t>
  </si>
  <si>
    <t>Screen / Layout</t>
  </si>
  <si>
    <t>Check opening Create Event/Task screen and fields layout</t>
  </si>
  <si>
    <t>Check creating a new event/task linked to a project with full valid information</t>
  </si>
  <si>
    <t>Field value / Type Other</t>
  </si>
  <si>
    <t>Check creating an event/task with Type set to 'Other'</t>
  </si>
  <si>
    <t>Navigation / Event from Project</t>
  </si>
  <si>
    <t>Check opening Create event screen directly from a Project detail view</t>
  </si>
  <si>
    <t>11.4 Update Progress</t>
  </si>
  <si>
    <t>Quick Edit / Progress</t>
  </si>
  <si>
    <t>Check selecting a task and updating its Status/Progress to 'In Progress (0%)'</t>
  </si>
  <si>
    <t>Update Progress value</t>
  </si>
  <si>
    <t>Check updating Task Progress percentage from 0% to 50%</t>
  </si>
  <si>
    <t>Status Auto-transition</t>
  </si>
  <si>
    <t>Check updating Task Progress to 100% and system auto-changes status to 'Finished'</t>
  </si>
  <si>
    <t>Edit Task Details</t>
  </si>
  <si>
    <t>Check editing fields (Location, Tags, Description) while preserving current Progress value</t>
  </si>
  <si>
    <t>Delete Task</t>
  </si>
  <si>
    <t>Check deleting a task from the project event list and confirming deletion</t>
  </si>
  <si>
    <t>11.5 Search &amp; Filter</t>
  </si>
  <si>
    <t>Combined Filters</t>
  </si>
  <si>
    <t>Check filtering projects by combining keywords, Status, Third party, and Lead status</t>
  </si>
  <si>
    <t>Filter by Keyword</t>
  </si>
  <si>
    <t>Check searching projects using a specific keyword in the Project label/title</t>
  </si>
  <si>
    <t>11.6 Status Management</t>
  </si>
  <si>
    <t>Change Status / Form Modify</t>
  </si>
  <si>
    <t>Check changing project status among Draft, Open, and Closed using Modify button</t>
  </si>
  <si>
    <t>Change Status / Open to Closed</t>
  </si>
  <si>
    <t>Check changing project status from Open to Closed in Modify form</t>
  </si>
  <si>
    <t>Change Status / Closed to Open</t>
  </si>
  <si>
    <t>Check re-opening a Closed project back to Open status</t>
  </si>
  <si>
    <t>Quick Action / Direct Close</t>
  </si>
  <si>
    <t>Check closing a project directly using quick button [Close] and confirming prompt</t>
  </si>
  <si>
    <t>Cancel Status Change</t>
  </si>
  <si>
    <t>Check cancelling status change prompt and verifying project retains its original status</t>
  </si>
  <si>
    <t>Module Code</t>
  </si>
  <si>
    <t>CRUD_PRODUCT</t>
  </si>
  <si>
    <t>Passed</t>
  </si>
  <si>
    <t>Test requirement</t>
  </si>
  <si>
    <t>CRUD Product</t>
  </si>
  <si>
    <t>Failed</t>
  </si>
  <si>
    <t>Tester</t>
  </si>
  <si>
    <t>Blocked</t>
  </si>
  <si>
    <t>Untested</t>
  </si>
  <si>
    <t>Skipped</t>
  </si>
  <si>
    <t>Number of Test cases</t>
  </si>
  <si>
    <t>ID</t>
  </si>
  <si>
    <t>Test Case Description</t>
  </si>
  <si>
    <t>Test Case Procedure</t>
  </si>
  <si>
    <t>Expected Output</t>
  </si>
  <si>
    <t>Inter-test case Dependence</t>
  </si>
  <si>
    <t>Result</t>
  </si>
  <si>
    <t>Test date</t>
  </si>
  <si>
    <t>ADD_PRODUCT-01</t>
  </si>
  <si>
    <t>Create a product using mandatory fields only</t>
  </si>
  <si>
    <t>PRE: Signed in with Products access; reference QA23130250-C01-[RUN] does not exist.
1. Open Products &gt; New product.
2. Enter Product ref. = QA23130250-C01-[RUN]; Label = Test Basic Product 01.
3. Keep optional fields blank and leave visible defaults unchanged.
4. Click CREATE; open the saved product details.</t>
  </si>
  <si>
    <t>Product is created and its detail page shows the exact reference and label entered; no optional field input is required.</t>
  </si>
  <si>
    <t>ADD_PRODUCT-02</t>
  </si>
  <si>
    <t>Create with description, note and public URL</t>
  </si>
  <si>
    <t>PRE: New unique reference QA23130250-C02-[RUN].
1. Open New product.
2. Enter Product ref. = QA23130250-C02-[RUN], Label = Test Text Product.
3. Enter Description = Product created for QA review; Public URL = https://example.com/qa-product; Note = Internal QA note.
4. Click CREATE, then review detail fields.</t>
  </si>
  <si>
    <t>Creation succeeds; entered optional text and URL are retained in their corresponding product fields (including the Notes area when applicable).</t>
  </si>
  <si>
    <t>ADD_PRODUCT-03</t>
  </si>
  <si>
    <t>Reject creation when Product ref. is empty</t>
  </si>
  <si>
    <t>PRE: On New product form.
1. Leave Product ref. blank.
2. Enter Label = Missing Reference Test.
3. Click CREATE.
4. Check the form response and whether any product was created.</t>
  </si>
  <si>
    <t>Creation is prevented and Product ref. is identified as required; no product with this attempted data is added.</t>
  </si>
  <si>
    <t>ADD_PRODUCT-04</t>
  </si>
  <si>
    <t>Reject creation when Label is empty</t>
  </si>
  <si>
    <t>PRE: New unique reference QA23130250-C04-[RUN].
1. Enter Product ref. = QA23130250-C04-[RUN].
2. Leave Label empty.
3. Click CREATE.
4. Check the response and product list.</t>
  </si>
  <si>
    <t>Creation is prevented; Label is identified as required and the reference is not added as a new product.</t>
  </si>
  <si>
    <t>ADD_PRODUCT-05</t>
  </si>
  <si>
    <t>Prevent creation when both required fields are empty</t>
  </si>
  <si>
    <t>PRE: On New product form.
1. Leave Product ref. and Label empty.
2. Click CREATE.
3. Observe validation and stay on the form.</t>
  </si>
  <si>
    <t>No product is created; the form requires missing mandatory input. Exact message text is not assumed.</t>
  </si>
  <si>
    <t>ADD_PRODUCT-06</t>
  </si>
  <si>
    <t>Correct a missing required field after validation</t>
  </si>
  <si>
    <t>PRE: New unique reference QA23130250-C06-[RUN].
1. Open New product; fill Product ref. = QA23130250-C06-[RUN]; leave Label empty.
2. Click CREATE and observe required-field validation.
3. Enter Label = Corrected After Error.
4. Click CREATE again; inspect created details.</t>
  </si>
  <si>
    <t>First attempt is blocked; after entering the missing Label, one product is created with the corrected reference and label.</t>
  </si>
  <si>
    <t>ADD_PRODUC
T_07</t>
  </si>
  <si>
    <t>Create a product with an alternative Sell status</t>
  </si>
  <si>
    <t>PRE: New unique reference QA23130250-C07-[RUN]; Sell status has an alternative in the form.
1. Open New product.
2. Fill Product ref. = QA23130250-C07-[RUN], Label = Alternate Sell Status.
3. In Status (Sell), choose an available option different from For sale; keep Purchase at default.
4. Click CREATE; check status in product details/list.</t>
  </si>
  <si>
    <t>Product is created; Sell status matches the option selected and Purchase status retains the default value.</t>
  </si>
  <si>
    <t>ADD_PRODUC
T_08</t>
  </si>
  <si>
    <t>Create a product with an alternative Purchase status</t>
  </si>
  <si>
    <t>PRE: New unique reference QA23130250-C08-[RUN]; Purchase status has an alternative.
1. Open New product; fill reference QA23130250-C08-[RUN] and Label = Alternate Purchase Status.
2. Keep Sell at default.
3. Change Status (Purchase) to an available alternative to For purchase.
4. Click CREATE; inspect the saved statuses.</t>
  </si>
  <si>
    <t>Product is created; Purchase status equals the selected value and Sell status keeps its original default.</t>
  </si>
  <si>
    <t>ADD_PRODUC
T_09</t>
  </si>
  <si>
    <t>Create a product with a positive selling price</t>
  </si>
  <si>
    <t>PRE: New reference QA23130250-C09-[RUN].
1. Open New product; enter ref QA23130250-C09-[RUN], Label = Priced Test Product.
2. Enter Selling price = 125.50; retain shown tax mode and Tax Rate = 20% where available.
3. Click CREATE; visit Selling prices or details.</t>
  </si>
  <si>
    <t>Product is created; selling price is recorded as 125.50 in the configured tax mode; tax selection remains as chosen.</t>
  </si>
  <si>
    <t>ADD_PRODUC
T_10</t>
  </si>
  <si>
    <t>Do not store alphabetic text as a numeric selling price</t>
  </si>
  <si>
    <t>PRE: New reference QA23130250-C10-[RUN].
1. Open New product; fill required fields with QA23130250-C10-[RUN] and Label = Invalid Price Input.
2. Try typing Selling price = abc.
3. Observe field behavior and attempt CREATE only if the form allows it.
4. Inspect any saved price or validation.</t>
  </si>
  <si>
    <t>Non-numeric text is not persisted as a numeric selling price. Input may be rejected/cleared by the field or validation may be shown; the exact UI response must be observed.</t>
  </si>
  <si>
    <t>ADD_PRODUC
T_11</t>
  </si>
  <si>
    <t>Cancel a filled New product form without saving</t>
  </si>
  <si>
    <t>PRE: New reference QA23130250-C11-[RUN].
1. Open New product.
2. Enter Product ref. = QA23130250-C11-[RUN]; Label = Cancel Creation Test.
3. Click CANCEL.
4. Return to Products &gt; List and search for the reference.</t>
  </si>
  <si>
    <t>The create operation is abandoned; no new product with the test reference exists in the list.</t>
  </si>
  <si>
    <t>LIST_PRODUCT-01</t>
  </si>
  <si>
    <t>Open Products list and verify core columns</t>
  </si>
  <si>
    <t>PRE: Signed in and Products module enabled.
1. Click Products &gt; List.
2. Observe the list header and visible rows.
3. Check Product ref., Label, Selling price, Status (Sell) and Status (Purchase) columns.</t>
  </si>
  <si>
    <t>Products list opens without an error and displays the core columns and product records available to the signed-in account.</t>
  </si>
  <si>
    <t>LIST_PRODUCT-02</t>
  </si>
  <si>
    <t>Find a prepared product using its exact Product ref.</t>
  </si>
  <si>
    <t>PRE: Own test product with ref QA23130250-R02-[RUN] and Label = Search By Reference exists.
1. Open Products &gt; List.
2. Enter QA23130250-R02-[RUN] into the Product ref. filter.
3. Run the list search/filter.
4. Open the matching result.</t>
  </si>
  <si>
    <t>The search result includes the prepared product with the matching exact reference; its detail page opens with the correct ref and label.</t>
  </si>
  <si>
    <t>Fixture prepared before execution</t>
  </si>
  <si>
    <t>LIST_PRODUCT-03</t>
  </si>
  <si>
    <t>Filter Products using a prepared label</t>
  </si>
  <si>
    <t>PRE: Own product QA23130250-R03-[RUN] with Label = Searchable QA Label exists.
1. Open Products &gt; List.
2. Enter Searchable QA Label in the Label filter.
3. Trigger filtering and review the returned rows.</t>
  </si>
  <si>
    <t>The prepared product appears among the matching results; the product reference links to its correct details.</t>
  </si>
  <si>
    <t>LIST_PRODUCT-04</t>
  </si>
  <si>
    <t>Return no unrelated records for an unmatched reference</t>
  </si>
  <si>
    <t>PRE: Reference QA23130250-NEVER-[RUN] does not exist.
1. Open Products &gt; List.
2. Filter Product ref. by QA23130250-NEVER-[RUN].
3. Execute search; inspect the result area.</t>
  </si>
  <si>
    <t>No product row with an unrelated reference is returned for the exact unmatched filter; the screen remains usable.</t>
  </si>
  <si>
    <t>LIST_PRODUCT-05</t>
  </si>
  <si>
    <t>Verify saved product details after page reload</t>
  </si>
  <si>
    <t>PRE: Own product QA23130250-R05-[RUN] exists with Label = Persisted Label; Description = Persisted QA Description.
1. Find and open the product.
2. Check ref, label, description and visible status values.
3. Reload the browser page; check the same values again.</t>
  </si>
  <si>
    <t>Details show the previously saved values both before and after page reload; no data changes without an edit action.</t>
  </si>
  <si>
    <t>EDIT_PRODUCT-01</t>
  </si>
  <si>
    <t>Open MODIFY for an existing product</t>
  </si>
  <si>
    <t>PRE: Own product QA23130250-U01-[RUN] exists.
1. Locate it in Products &gt; List.
2. Open product details.
3. Click MODIFY; inspect the edit form and its initial values.</t>
  </si>
  <si>
    <t>The edit form opens for the selected product and prepopulates its stored data; no changes are saved merely by opening it.</t>
  </si>
  <si>
    <t>EDIT_PRODUCT-02</t>
  </si>
  <si>
    <t>Save a changed product Label and verify persistence</t>
  </si>
  <si>
    <t>PRE: Own product QA23130250-U02-[RUN] exists, Label = Before Update.
1. Open details &gt; MODIFY.
2. Change Label to After Update 23130250.
3. Save using the edit form action.
4. Reload details and search the list by reference.</t>
  </si>
  <si>
    <t>The updated Label is displayed in details and list after reload; original Product ref. remains unchanged.</t>
  </si>
  <si>
    <t>EDIT_PRODUCT-03</t>
  </si>
  <si>
    <t>Edit product Description without altering reference</t>
  </si>
  <si>
    <t>PRE: Own product QA23130250-U03-[RUN] exists with Description = Old QA Description.
1. Open MODIFY.
2. Replace Description with New QA Description 23130250.
3. Save; reopen details and reload.</t>
  </si>
  <si>
    <t>New description is persisted and displayed; Product ref. and Label are unchanged.</t>
  </si>
  <si>
    <t>EDIT_PRODUCT-04</t>
  </si>
  <si>
    <t>Update selling price to a valid positive value</t>
  </si>
  <si>
    <t>PRE: Own product QA23130250-U04-[RUN] exists with Selling price = 100.00 under the current tax mode.
1. Open product &gt; MODIFY (or relevant Selling prices edit control).
2. Change Selling price to 149.50 without changing tax mode.
3. Save and revisit pricing.</t>
  </si>
  <si>
    <t>The saved selling price is 149.50 in the same tax mode; reference, label and other unrelated fields remain intact.</t>
  </si>
  <si>
    <t>EDIT_PRODUCT-05</t>
  </si>
  <si>
    <t>Change Sell status of an existing product</t>
  </si>
  <si>
    <t>PRE: Own product QA23130250-U05-[RUN] exists with Status (Sell) = For sale; an alternative is available.
1. Open product &gt; MODIFY.
2. Change Status (Sell) to a different available value.
3. Save; check the badge in details/list.</t>
  </si>
  <si>
    <t>Selected Sell status is persisted and shown correctly; Purchase status does not change unexpectedly.</t>
  </si>
  <si>
    <t>EDIT_PRODUCT-06</t>
  </si>
  <si>
    <t>Reject clearing required Label during an update</t>
  </si>
  <si>
    <t>PRE: Own product QA23130250-U06-[RUN] exists with Label = Keep This Label.
1. Open MODIFY.
2. Clear Label completely.
3. Save; observe validation.
4. Reload details and verify original label.</t>
  </si>
  <si>
    <t>An empty required Label is not saved; the previously stored valid Label remains unchanged.</t>
  </si>
  <si>
    <t>EDIT_PRODU
CT_07</t>
  </si>
  <si>
    <t>Cancel changes in product edit form</t>
  </si>
  <si>
    <t>PRE: Own product QA23130250-U07-[RUN] exists with Label = Original Label U07.
1. Open MODIFY.
2. Change Label to Should Not Save U07.
3. Click CANCEL (if edit form offers it) or navigate back without saving.
4. Reload details.</t>
  </si>
  <si>
    <t>The unsaved change is discarded; Label remains Original Label U07 after reload.</t>
  </si>
  <si>
    <t>DELETE_PRODUCT-01</t>
  </si>
  <si>
    <t>Check deletion requires an explicit confirmation step</t>
  </si>
  <si>
    <t>PRE: Own disposable product QA23130250-D01-[RUN] exists and has no known linked records.
1. Open its detail page.
2. Click DELETE.
3. Examine the confirmation screen/dialog without accepting deletion.</t>
  </si>
  <si>
    <t>A clear confirmation action is available before deletion; the product still exists until confirmation. Confirm actual behavior on the demo.</t>
  </si>
  <si>
    <t>DELETE_PRODUCT-02</t>
  </si>
  <si>
    <t>Cancel the delete operation and preserve the product</t>
  </si>
  <si>
    <t>PRE: Own product QA23130250-D02-[RUN] exists.
1. Open its details and click DELETE.
2. Choose No/Cancel on the deletion confirmation (if offered).
3. Return to Products &gt; List; search by reference.</t>
  </si>
  <si>
    <t>Deletion is not carried out; the product remains searchable and its details are unchanged.</t>
  </si>
  <si>
    <t>DELETE_PRODUCT-03</t>
  </si>
  <si>
    <t>Delete one disposable product and verify removal</t>
  </si>
  <si>
    <t>PRE: Own disposable unlinked product QA23130250-D03-[RUN] exists; deletion permission verified.
1. Open product details.
2. Click DELETE and confirm the operation using the provided control.
3. Return to Products &gt; List; search exact Product ref.</t>
  </si>
  <si>
    <t>Deletion completes according to the UI; the product no longer appears in exact-reference search.</t>
  </si>
  <si>
    <t>Fixture prepared before execution; own disposable data</t>
  </si>
  <si>
    <t>DELETE_PRODUCT-04</t>
  </si>
  <si>
    <t>Deleting one product does not remove a separate product</t>
  </si>
  <si>
    <t>PRE: Two independent disposable products exist: QA23130250-D04A-[RUN] and QA23130250-D04B-[RUN].
1. Open D04A details and execute confirmed DELETE.
2. Search exact reference D04A, then search exact reference D04B.
3. Open D04B details.</t>
  </si>
  <si>
    <t>Deleted D04A is absent; independently created D04B still exists with its original data intact.</t>
  </si>
  <si>
    <t>Two own disposable fixtures prepared</t>
  </si>
  <si>
    <t>CONTRACT</t>
  </si>
  <si>
    <t>Bui Anh Hau</t>
  </si>
  <si>
    <t>CONTRACT_Create_01</t>
  </si>
  <si>
    <t>Check displaying New contract screen by clicking [New contract or subscription] on the left menu</t>
  </si>
  <si>
    <t>PRE: Signed in the Dolibarr demo with the Contracts module enabled; at least 1 Third party exists.
1. On the left menu, click [New contract or subscription]</t>
  </si>
  <si>
    <t>1. New contract screen is displayed (page title = "New contract")</t>
  </si>
  <si>
    <t>CONTRACT_List_01</t>
  </si>
  <si>
    <t>CONTRACT_Create_02</t>
  </si>
  <si>
    <t>PRE: Signed in the Dolibarr demo with the Contracts module enabled; at least 1 Third party exists.
1. Open New contract screen (CONTRACT_Create_01)
2. Check the displayed fields, default values and buttons</t>
  </si>
  <si>
    <t>2. Screen displays:
    - Third party (required, bold label, empty - "Select a third party")
    - Sales representative following-up contract (default = David Doe)
    - Sales representative signing contract (default = David Doe)
    - Date (default = current date)
    - Project (empty), Note (public), Note (internal)
    - Buttons [CREATE DRAFT] and [CANCEL]</t>
  </si>
  <si>
    <t>CONTRACT_Create_03</t>
  </si>
  <si>
    <t>Check creating a draft contract with only the required field (Third party)</t>
  </si>
  <si>
    <t>PRE: Signed in the Dolibarr demo with the Contracts module enabled; at least 1 Third party exists. Third party = Testldr1.
1. On New contract screen, select Third party = Testldr1
2. Keep the other fields as default
3. Click [CREATE DRAFT] button</t>
  </si>
  <si>
    <t>3. Contract is created, Contract detail screen is displayed
    - Status = Draft
    - Ref is a provisional ref (e.g. "(PROV...)")
    - Third party = Testldr1</t>
  </si>
  <si>
    <t>CONTRACT_Create_04</t>
  </si>
  <si>
    <t>Check creating a contract with Note (internal) filled</t>
  </si>
  <si>
    <t>PRE: Signed in the Dolibarr demo with the Contracts module enabled; at least 1 Third party exists. Third party = Testldr1; Note (internal) = Internal note 01.
1. On New contract screen, select Third party = Testldr1
2. Input Note (internal) = Internal note 01
3. Click [CREATE DRAFT] button
4. On Contract detail screen, open tab [Notes]</t>
  </si>
  <si>
    <t>3. Contract is created, Contract detail screen is displayed
4. Tab [Notes] shows the internal note = "Internal note 01"</t>
  </si>
  <si>
    <t>CONTRACT_Create_05</t>
  </si>
  <si>
    <t>Check required field - Third party</t>
  </si>
  <si>
    <t>PRE: Signed in the Dolibarr demo with the Contracts module enabled; at least 1 Third party exists.
1. On New contract screen, do not select Third party
2. Click [CREATE DRAFT] button</t>
  </si>
  <si>
    <t>2. New contract screen is still displayed
    - Error message "Field 'Third party' is required" is displayed
    - No contract is created</t>
  </si>
  <si>
    <t>CONTRACT_Create_06</t>
  </si>
  <si>
    <t>PRE: Signed in the Dolibarr demo with the Contracts module enabled; at least 1 Third party exists. Third party = Testldr1.
1. Create a draft contract (steps of CONTRACT_Create_03)
2. Write down the Ref of the new contract on Contract detail screen
3. Open Contracts list screen
4. Input the Ref into the Ref. filter box and press Enter</t>
  </si>
  <si>
    <t>2. The Ref (provisional) is displayed on the detail screen
4. The new contract is displayed in the list</t>
  </si>
  <si>
    <t>CONTRACT_Create_07</t>
  </si>
  <si>
    <t>Check cancelling create contract</t>
  </si>
  <si>
    <t>PRE: Signed in the Dolibarr demo with the Contracts module enabled; at least 1 Third party exists. Third party = Testldr1.
1. Open Contracts list screen and write down n in the title "Contracts (n)"
2. Click [New contract or subscription] on the left menu
3. Select Third party = Testldr1
4. Click [CANCEL] button
5. Open Contracts list screen again</t>
  </si>
  <si>
    <t>4. New contract screen is closed (back to the previous screen)
5. Page title is still "Contracts (n)" - no contract was created</t>
  </si>
  <si>
    <t>CONTRACT_Create_08</t>
  </si>
  <si>
    <t>Check creating two contracts continuously</t>
  </si>
  <si>
    <t>PRE: Signed in the Dolibarr demo with the Contracts module enabled; at least 1 Third party exists. Third party = Testldr1 (both contracts).
1. Open Contracts list screen and write down n in the title "Contracts (n)"
2. Create the 1st draft contract (steps of CONTRACT_Create_03)
3. Click [New contract or subscription] again and create the 2nd draft contract
4. Open Contracts list screen</t>
  </si>
  <si>
    <t>3. New contract screen is displayed again with empty Third party (no data kept from the previous contract)
4. Page title = "Contracts (n+2)"</t>
  </si>
  <si>
    <t>CONTRACT_Create_09</t>
  </si>
  <si>
    <t>Check creating a contract with a past Date</t>
  </si>
  <si>
    <t>PRE: Signed in the Dolibarr demo with the Contracts module enabled; at least 1 Third party exists. Third party = Testldr1; Date = 01/01/2026.
1. On New contract screen, select Third party = Testldr1
2. Clear the Date field and input 01/01/2026
3. Click [CREATE DRAFT] button</t>
  </si>
  <si>
    <t>3. Contract is created successfully
    - Contract date = 01/01/2026 is displayed on Contract detail screen</t>
  </si>
  <si>
    <t>CONTRACT_Create_10</t>
  </si>
  <si>
    <t>PRE: Signed in the Dolibarr demo with the Contracts module enabled; at least 1 Third party exists. Third party = Testldr1; Note (internal) = Note @#$%&amp;*().
1. On New contract screen, select Third party = Testldr1
2. Input Note (internal) = Note @#$%&amp;*()
3. Click [CREATE DRAFT] button
4. On Contract detail screen, open tab [Notes]</t>
  </si>
  <si>
    <t>3. Contract is created successfully, no error message
4. Tab [Notes] shows the internal note exactly as input: Note @#$%&amp;*()</t>
  </si>
  <si>
    <t>CONTRACT_Create_11</t>
  </si>
  <si>
    <t>PRE: Signed in the Dolibarr demo with the Contracts module enabled; at least 1 Third party exists. Third party = Testldr1; Note (internal) = 1000 characters "A".
1. On New contract screen, select Third party = Testldr1
2. Input Note (internal) = 1000 characters "A"
3. Click [CREATE DRAFT] button</t>
  </si>
  <si>
    <t>3. System does not show any technical/system error page
    - Contract is created and Contract detail screen is displayed</t>
  </si>
  <si>
    <t>Check displaying Contracts list screen by selecting [Commercial] &gt; [Contracts/Subscriptions] &gt; [List] from the menu</t>
  </si>
  <si>
    <t>PRE: Signed in the Dolibarr demo with the Contracts module enabled; at least 1 Third party exists.
1. On Dolibarr home page, click menu [Commercial] on the top menu bar
2. Click [List] under [Contracts/Subscriptions] on the left menu</t>
  </si>
  <si>
    <t>1. Commerce area is displayed, left menu has [Contracts/Subscriptions]
2. Contracts list screen is displayed
    - Page title = "Contracts (n)" (n = number of contracts)
    - Table of contracts is displayed</t>
  </si>
  <si>
    <t>CONTRACT_List_02</t>
  </si>
  <si>
    <t>PRE: Signed in the Dolibarr demo with the Contracts module enabled; at least 1 Third party exists.
1. Open Contracts list screen (CONTRACT_List_01)
2. Check the columns, the filter row and the icons</t>
  </si>
  <si>
    <t>2. Screen displays:
    - Columns: Ref., Ref. customer, Ref. vendor, Third party, Zip Code, Phone, Mobile, Contract date
    - Filter row with a search icon (magnifier) and a clear icon (X)
    - Rows of contracts below</t>
  </si>
  <si>
    <t>CONTRACT_Search_01</t>
  </si>
  <si>
    <t>Check searching contracts by an existing Ref</t>
  </si>
  <si>
    <t>PRE: Signed in the Dolibarr demo with the Contracts module enabled; at least 1 Third party exists. Contract CT2610-0007 exists (demo sample data).
1. On Contracts list screen, input Ref = CT2610-0007 into the Ref. filter box
2. Press Enter</t>
  </si>
  <si>
    <t>2. Only the contract CT2610-0007 is displayed in the list
    - Page title = "Contracts (1)"</t>
  </si>
  <si>
    <t>CONTRACT_Search_02</t>
  </si>
  <si>
    <t>Check searching contracts by a non-existent Ref</t>
  </si>
  <si>
    <t>PRE: Signed in the Dolibarr demo with the Contracts module enabled; at least 1 Third party exists.
1. On Contracts list screen, input Ref = NOT_EXIST_999 into the Ref. filter box
2. Press Enter</t>
  </si>
  <si>
    <t>2. No contract is displayed
    - Page title = "Contracts (0)"
    - Message "No record found" is displayed</t>
  </si>
  <si>
    <t>CONTRACT_Search_03</t>
  </si>
  <si>
    <t>Check searching contracts by Third party</t>
  </si>
  <si>
    <t>PRE: Signed in the Dolibarr demo with the Contracts module enabled; at least 1 Third party exists. A contract of Third party "Generic customer" exists (demo sample data).
1. On Contracts list screen, input "Generic" into the Third party filter box
2. Press Enter</t>
  </si>
  <si>
    <t>2. Only contracts whose Third party contains "Generic" are displayed in the list</t>
  </si>
  <si>
    <t>CONTRACT_Search_04</t>
  </si>
  <si>
    <t>Check filtering contracts by Status = Draft</t>
  </si>
  <si>
    <t>PRE: Signed in the Dolibarr demo with the Contracts module enabled; at least 1 Third party exists. At least 1 contract with Status = Draft exists.
1. On Contracts list screen, scroll right to the Status filter
2. Select Status = Draft in the Status filter
3. Press Enter (or click the search icon)</t>
  </si>
  <si>
    <t>3. All displayed contracts have Status = Draft</t>
  </si>
  <si>
    <t>CONTRACT_Search_05</t>
  </si>
  <si>
    <t>Check clearing the filter</t>
  </si>
  <si>
    <t>PRE: Signed in the Dolibarr demo with the Contracts module enabled; at least 1 Third party exists. A filter is applied (e.g. CONTRACT_Search_02).
1. On Contracts list screen with a filter applied, click the clear icon (X) in the filter row</t>
  </si>
  <si>
    <t>1. Filter boxes are cleared
    - The full list of contracts is displayed again</t>
  </si>
  <si>
    <t>CONTRACT_Search_06</t>
  </si>
  <si>
    <t>Check sorting contracts by Ref (ascending, descending)</t>
  </si>
  <si>
    <t>PRE: Signed in the Dolibarr demo with the Contracts module enabled; at least 1 Third party exists. At least 2 contracts exist (default sort is Ref ascending).
1. On Contracts list screen, click the column header [Ref.]
2. Click the column header [Ref.] one more time</t>
  </si>
  <si>
    <t>1. The order of contracts is reversed (Ref descending)
2. The order of contracts is back to Ref ascending</t>
  </si>
  <si>
    <t>CONTRACT_Search_07</t>
  </si>
  <si>
    <t>Check sorting contracts by Contract date (ascending, descending)</t>
  </si>
  <si>
    <t>PRE: Signed in the Dolibarr demo with the Contracts module enabled; at least 1 Third party exists. At least 2 contracts with different dates exist.
1. On Contracts list screen, click the column header [Contract date]
2. Click the column header [Contract date] one more time</t>
  </si>
  <si>
    <t>1. Contracts are sorted by Contract date in one direction (ascending)
2. Contracts are sorted by Contract date in the opposite direction (descending)</t>
  </si>
  <si>
    <t>CONTRACT_View_01</t>
  </si>
  <si>
    <t>Check viewing Contract detail screen by clicking a contract in the list</t>
  </si>
  <si>
    <t>PRE: Signed in the Dolibarr demo with the Contracts module enabled; at least 1 Third party exists. Contract CT2610-0007 exists in the list (demo sample data).
1. On Contracts list screen, click the Ref "CT2610-0007"</t>
  </si>
  <si>
    <t>1. Contract detail screen of CT2610-0007 is displayed
    - Ref = CT2610-0007
    - Third party is the same as in the list</t>
  </si>
  <si>
    <t>CONTRACT_View_02</t>
  </si>
  <si>
    <t>Check going back to the list from Contract detail screen</t>
  </si>
  <si>
    <t>PRE: Signed in the Dolibarr demo with the Contracts module enabled; at least 1 Third party exists. Currently on a Contract detail screen.
1. Click [Back to list] link</t>
  </si>
  <si>
    <t>1. Contracts list screen is displayed</t>
  </si>
  <si>
    <t>CONTRACT_Edit_01</t>
  </si>
  <si>
    <t>Check modifying Ref. customer of a draft contract</t>
  </si>
  <si>
    <t>PRE: Signed in the Dolibarr demo with the Contracts module enabled; at least 1 Third party exists. A Draft contract exists (created in CONTRACT_Create_03); new Ref. customer = RC_EDIT_01.
1. Open Contract detail screen of the draft contract
2. Click the edit (pencil) icon next to [Ref. customer]
3. Input Ref. customer = RC_EDIT_01
4. Click the save button next to the input box</t>
  </si>
  <si>
    <t>2. Input box of Ref. customer is displayed
4. Ref. customer = RC_EDIT_01 is displayed on Contract detail screen</t>
  </si>
  <si>
    <t>CONTRACT_Edit_02</t>
  </si>
  <si>
    <t>Check cancelling modify Ref. customer</t>
  </si>
  <si>
    <t>PRE: Signed in the Dolibarr demo with the Contracts module enabled; at least 1 Third party exists. A Draft contract exists (created in CONTRACT_Create_03).
1. Open Contract detail screen of the draft contract
2. Click the edit (pencil) icon next to [Ref. customer]
3. Input Ref. customer = RC_NOEDIT_01
4. Click the cancel button next to the input box</t>
  </si>
  <si>
    <t>4. Input box is closed
    - Ref. customer is NOT changed (not RC_NOEDIT_01)</t>
  </si>
  <si>
    <t>CONTRACT_Delete_01</t>
  </si>
  <si>
    <t>Check deleting a draft contract and confirming</t>
  </si>
  <si>
    <t>PRE: Signed in the Dolibarr demo with the Contracts module enabled; at least 1 Third party exists. A Draft contract exists (created in CONTRACT_Create_03).
1. Open Contract detail screen of the draft contract
2. Click [DELETE] button
3. Confirm deleting on the confirmation message
4. Search the list by the deleted contract's Ref</t>
  </si>
  <si>
    <t>2. A confirmation message is displayed
3. Back to Contracts list screen
4. The deleted contract is not displayed in the list</t>
  </si>
  <si>
    <t>CONTRACT_Delete_02</t>
  </si>
  <si>
    <t>Check cancelling delete contract</t>
  </si>
  <si>
    <t>PRE: Signed in the Dolibarr demo with the Contracts module enabled; at least 1 Third party exists. A Draft contract exists (created in CONTRACT_Create_03).
1. Open Contract detail screen of the draft contract
2. Click [DELETE] button
3. Click [No] (or close) on the confirmation message</t>
  </si>
  <si>
    <t>3. Confirmation message is closed
    - Contract detail screen is still displayed and the contract still exists</t>
  </si>
  <si>
    <t>COMMERCIAL_PROPOSAL</t>
  </si>
  <si>
    <t>Nguyen Thanh Tai</t>
  </si>
  <si>
    <t>ADD_PROPOSAL-01</t>
  </si>
  <si>
    <t>PRE: Logged in to demo.dolibarr.org (user David Doe).
 1. Open Commercial &gt; Proposals &gt; New proposal.
 2. Observe the form without entering anything.</t>
  </si>
  <si>
    <t>Form 'New commercial proposal' is displayed.
 Customer is empty ('Select a third party'); Date = today; Validity duration = 15 days; Payment terms, Payment method, Project, Incoterms are empty.
 Customer, Date and Validity duration are shown as mandatory; buttons [Create draft] and [Cancel] are available.</t>
  </si>
  <si>
    <t>ADD_PROPOSAL-02</t>
  </si>
  <si>
    <t>Create a draft proposal using mandatory fields only</t>
  </si>
  <si>
    <t>PRE: Logged in to demo.dolibarr.org (user David Doe); third party 'AAA Company' exists.
 1. Open New proposal.
 2. Select Customer = AAA Company.
 3. Keep Date and Validity duration = 15 as default.
 4. Enter Note (internal) = QA23130284-C02-[RUN].
 5. Click [Create draft].</t>
  </si>
  <si>
    <t>Proposal card opens with a temporary reference (PROVnnn).
 Status = 'Draft (needs to be validated)'; Customer = AAA Company; Validity ending date = Date + 15 days; all amounts = 0.00.</t>
  </si>
  <si>
    <t>ADD_PROPOSAL-03</t>
  </si>
  <si>
    <t>Reject creation when Customer is empty</t>
  </si>
  <si>
    <t>PRE: On the New proposal form.
 1. Leave Customer empty.
 2. Keep other fields at default.
 3. Click [Create draft].</t>
  </si>
  <si>
    <t>Message "Field 'Customer' is required" is displayed; the form stays open with the entered values kept; no proposal is created.</t>
  </si>
  <si>
    <t>ADD_PROPOSAL-04</t>
  </si>
  <si>
    <t>Reject Validity duration = non-numeric text</t>
  </si>
  <si>
    <t>PRE: On the New proposal form with Customer = AAA Company.
 1. Enter Validity duration = abc.
 2. Click [Create draft].
 3. Check the message and the proposals list count.</t>
  </si>
  <si>
    <t>An error is displayed ("Field 'Validity duration' is required"); no proposal is created.</t>
  </si>
  <si>
    <t>ADD_PROPOSAL-05</t>
  </si>
  <si>
    <t>PRE: On the New proposal form with Customer = AAA Company.
 1. Enter Validity duration = 0.
 2. Click [Create draft].</t>
  </si>
  <si>
    <t>ADD_PROPOSAL-06</t>
  </si>
  <si>
    <t>PRE: On the New proposal form with Customer = AAA Company.
 1. Enter Validity duration = -1.
 2. Click [Create draft].
 3. Check whether a proposal was created.</t>
  </si>
  <si>
    <t>An error is displayed and no proposal is created, because a validity period cannot end before the proposal date.</t>
  </si>
  <si>
    <t>ADD_PROPOSAL-07</t>
  </si>
  <si>
    <t>PRE: On the New proposal form with Customer = AAA Company.
 1. Enter Validity duration = 1.
 2. Enter Note (internal) = QA23130284-C07-[RUN].
 3. Click [Create draft].</t>
  </si>
  <si>
    <t>Draft proposal is created; Validity ending date = Date + 1 day.</t>
  </si>
  <si>
    <t>ADD_PROPOSAL-08</t>
  </si>
  <si>
    <t>Cancel the creation of a proposal</t>
  </si>
  <si>
    <t>PRE: Logged in to demo.dolibarr.org (user David Doe); third party 'AAA Company' exists.
 1. Open Commercial &gt; Proposals and note the number in the list title.
 2. Click New proposal, select Customer = AAA Company.
 3. Click [Cancel].
 4. Read the number in the list title again.</t>
  </si>
  <si>
    <t>User is taken back to the Commercial proposals list; the count is unchanged; no proposal is created.</t>
  </si>
  <si>
    <t>PROPOSAL_LINE-01</t>
  </si>
  <si>
    <t>Reject a free-text line without Type and Description</t>
  </si>
  <si>
    <t>PRE: A draft proposal tagged QA23130284 is open (created by ADD_PROPOSAL-02) and has no line.
 1. In the add-line area select the radio 'Free-text item'.
 2. Leave Type and Description empty; enter Unit price = 100, Qty = 1, VAT = 20%.
 3. Click [Add].</t>
  </si>
  <si>
    <t>Errors are displayed ("Field 'Type' is required", "Field 'Description' is required"); no line is added.</t>
  </si>
  <si>
    <t>PROPOSAL_LINE-02</t>
  </si>
  <si>
    <t>Add a valid free-text line (price 100, qty 1, VAT 20%)</t>
  </si>
  <si>
    <t>PRE: A draft proposal tagged QA23130284 is open (created by ADD_PROPOSAL-02) and has no line.
 1. Select the radio 'Free-text item'; Type = Service.
 2. Description = QA23130284 line 1; Unit price = 100; Qty = 1; VAT = 20%.
 3. Click [Add].</t>
  </si>
  <si>
    <t>Line is added: U.P. (net) 100.00; U.P. (inc. tax) 120.00; Qty 1; Total 100.00.
 Proposal amounts: excl. tax 100.00; tax 20.00; inc. tax 120.00.
 Button [Validate] becomes available.</t>
  </si>
  <si>
    <t>PROPOSAL_LINE-03</t>
  </si>
  <si>
    <t>PRE: Draft proposal with line 'QA23130284 line 1' (created by PROPOSAL_LINE-02).
 1. Select 'Free-text item'; Type = Service; Description = QA23130284 qty -1.
 2. Enter Unit price = 100; Qty = -1; VAT = 20%.
 3. Click [Add].</t>
  </si>
  <si>
    <t>Error is displayed ("Field 'Qty' cannot be negative"); no line is added; entered values are kept in the form.</t>
  </si>
  <si>
    <t>PROPOSAL_LINE-04</t>
  </si>
  <si>
    <t>Reject Qty = non-numeric text</t>
  </si>
  <si>
    <t>PRE: Draft proposal with line 'QA23130284 line 1' (created by PROPOSAL_LINE-02).
 1. Select 'Free-text item'; Type = Service; Description = QA23130284 qty abc.
 2. Enter Unit price = 100; Qty = abc; VAT = 20%.
 3. Click [Add].</t>
  </si>
  <si>
    <t>An error is displayed and no line is added; proposal totals are unchanged.</t>
  </si>
  <si>
    <t>PROPOSAL_LINE-05</t>
  </si>
  <si>
    <t>PRE: Draft proposal with line 'QA23130284 line 1' (created by PROPOSAL_LINE-02).
 1. Select 'Free-text item'; Type = Service; Description = QA23130284 discount 10.
 2. Enter Unit price = 100; Qty = 1; Discount = 10; VAT = 20%.
 3. Click [Add].</t>
  </si>
  <si>
    <t>Disc. column shows 10%; line total = 90.00.
 Proposal amounts increase by 90.00 (excl. tax) and 18.00 (tax).</t>
  </si>
  <si>
    <t>PROPOSAL_LINE-06</t>
  </si>
  <si>
    <t>PRE: Draft proposal with line 'QA23130284 line 1' (created by PROPOSAL_LINE-02).
 1. Select 'Free-text item'; Type = Service; Description = QA23130284 discount 101.
 2. Enter Unit price = 100; Qty = 1; Discount = 101; VAT = 20%.
 3. Click [Add].</t>
  </si>
  <si>
    <t>Error is displayed and no line is added, because a discount cannot exceed 100%.</t>
  </si>
  <si>
    <t>PROPOSAL_LINE-07</t>
  </si>
  <si>
    <t>PRE: Draft proposal with line 'QA23130284 line 1' (created by PROPOSAL_LINE-02).
 1. Select 'Free-text item'; Type = Service; Description = QA23130284 discount -1.
 2. Enter Unit price = 100; Qty = 1; Discount = -1; VAT = 20%.
 3. Click [Add].</t>
  </si>
  <si>
    <t>Error is displayed and no line is added, because a discount cannot be negative.</t>
  </si>
  <si>
    <t>PROPOSAL_LINE-08</t>
  </si>
  <si>
    <t>PRE: Draft proposal whose only line is 'QA23130284 line 1' (Unit price 100, Qty 1, VAT 20%; excl. 100.00 / tax 20.00 / inc. 120.00).
 1. Select 'Free-text item'; Type = Service; Description = QA23130284 line 2.
 2. Enter Unit price = 200; Qty = 1; VAT = 10%.
 3. Click [Add].</t>
  </si>
  <si>
    <t>New line: U.P. (inc. tax) 220.00; total 200.00.
 Proposal amounts: excl. tax 300.00; tax 40.00; inc. tax 340.00.</t>
  </si>
  <si>
    <t>PROPOSAL_STATUS-01</t>
  </si>
  <si>
    <t>PRE: A new draft proposal tagged QA23130284 without any line.
 1. Open the draft card and read the action buttons.
 2. Add one valid line (Unit price 100, Qty 1, VAT 20%).
 3. Read the action buttons again.</t>
  </si>
  <si>
    <t>Without a line: only [Clone] and [Delete] are available.
 With a line: [Validate], [Clone] and [Delete] are available.</t>
  </si>
  <si>
    <t>PROPOSAL_STATUS-02</t>
  </si>
  <si>
    <t>Cancel the validate confirmation with [No]</t>
  </si>
  <si>
    <t>PRE: Draft proposal tagged QA23130284 with 1 line.
 1. Click [Validate].
 2. Read the confirmation dialog.
 3. Click [No].</t>
  </si>
  <si>
    <t>Dialog 'Are you sure you want to validate this commercial proposal under name PRyymm-nnnn?' is displayed.
 After [No]: dialog closes, status stays 'Draft', reference stays PROVnnn.</t>
  </si>
  <si>
    <t>PROPOSAL_STATUS-03</t>
  </si>
  <si>
    <t>Validate a draft proposal with [Yes]</t>
  </si>
  <si>
    <t>PRE: Draft proposal tagged QA23130284 with 1 line.
 1. Click [Validate].
 2. Click [Yes].</t>
  </si>
  <si>
    <t>Reference changes from PROVnnn to PRyymm-nnnn; status = 'Validated (proposal is open)'; totals are unchanged; lines can no longer be edited.
 Buttons: Modify, Send email, Set accepted/refused, Cancel, Clone, Delete.</t>
  </si>
  <si>
    <t>PROPOSAL_STATUS-04</t>
  </si>
  <si>
    <t>PRE: Validated proposal tagged QA23130284.
 1. Click [Modify].
 2. Click [Validate], then [Yes] again.</t>
  </si>
  <si>
    <t>After [Modify] status returns to 'Draft (needs to be validated)' and totals are unchanged.
 Re-validating keeps the same reference (no new number is used).</t>
  </si>
  <si>
    <t>PROPOSAL_STATUS-05</t>
  </si>
  <si>
    <t>Reject [Set accepted/refused] without choosing a status</t>
  </si>
  <si>
    <t>PRE: Validated proposal tagged QA23130284.
 1. Click [Set accepted/refused].
 2. Leave 'Set status to' empty.
 3. Click [Yes].</t>
  </si>
  <si>
    <t>Error is displayed ("Field 'Set status to' is required"); status stays 'Validated'.</t>
  </si>
  <si>
    <t>PROPOSAL_STATUS-06</t>
  </si>
  <si>
    <t>Set status 'Not signed' (Validated -&gt; Not signed)</t>
  </si>
  <si>
    <t>PRE: Validated proposal tagged QA23130284.
 1. Click [Set accepted/refused].
 2. Set status to = Not signed; Note = QA23130284 not signed.
 3. Click [Yes].</t>
  </si>
  <si>
    <t>Status = 'Not signed (closed)'; an event is added to Events/Agenda.
 Buttons: Re-open, Cancel, Clone, Delete.</t>
  </si>
  <si>
    <t>PROPOSAL_STATUS-07</t>
  </si>
  <si>
    <t>Set status 'Signed' (Validated -&gt; Signed)</t>
  </si>
  <si>
    <t>PRE: A second validated proposal tagged QA23130284.
 1. Click [Set accepted/refused].
 2. Set status to = Signed; Note = QA23130284 signed.
 3. Click [Yes].</t>
  </si>
  <si>
    <t>Status = 'Signed (needs billing)'; [Modify] is not available.
 Buttons: Re-open, Send email, Create (order / intervention / contract / invoice), Classify billed, Cancel, Clone, Delete.</t>
  </si>
  <si>
    <t>PROPOSAL_STATUS-08</t>
  </si>
  <si>
    <t>Cancel a proposal (Not signed -&gt; Canceled)</t>
  </si>
  <si>
    <t>PRE: Proposal tagged QA23130284 in status 'Not signed' (from PROPOSAL_STATUS-06).
 1. Click [Cancel].
 2. Read the dialog and click [Yes].</t>
  </si>
  <si>
    <t>Dialog 'Are you sure you want to cancel commercial proposal PRyymm-nnnn?' is displayed.
 Status = 'Canceled (Abandoned)'; buttons: Re-open, Clone, Delete.</t>
  </si>
  <si>
    <t>PROPOSAL_STATUS-09</t>
  </si>
  <si>
    <t>Clone a signed proposal</t>
  </si>
  <si>
    <t>PRE: Signed proposal tagged QA23130284 (from PROPOSAL_STATUS-07).
 1. Click [Clone].
 2. Keep Customer = AAA Company; leave both checkboxes unchecked.
 3. Click [Yes].</t>
  </si>
  <si>
    <t>Dialog with third-party select and the checkboxes 'Update prices' / 'Update descriptions' is displayed.
 A new draft proposal is created with the same lines and totals; Date of proposal = today.</t>
  </si>
  <si>
    <t>LIST_PROPOSAL-01</t>
  </si>
  <si>
    <t>Filter the proposal list by an existing Ref</t>
  </si>
  <si>
    <t>PRE: A Signed proposal tagged QA23130284 exists (from PROPOSAL_STATUS-07); note its reference PRyymm-nnnn.
 1. Open Commercial &gt; Proposals.
 2. Enter the noted reference in the Ref filter and press Enter.</t>
  </si>
  <si>
    <t>Exactly one row is listed: that reference, Customer = AAA Company, Status = Signed; the list title shows (1).</t>
  </si>
  <si>
    <t>LIST_PROPOSAL-02</t>
  </si>
  <si>
    <t>Filter the proposal list by a non-existing Ref</t>
  </si>
  <si>
    <t>PRE: Logged in to demo.dolibarr.org (user David Doe).
 1. Open Commercial &gt; Proposals.
 2. Enter Ref = ZZZ-NO-SUCH-REF and press Enter.</t>
  </si>
  <si>
    <t>Message 'No record found' is displayed; the list title shows (0).</t>
  </si>
  <si>
    <t>LIST_PROPOSAL-03</t>
  </si>
  <si>
    <t>Combine Ref with Status and Amount filters</t>
  </si>
  <si>
    <t>PRE: Signed proposal tagged QA23130284 with amount 100.00 excl. tax; note its reference.
 1. Filter Ref = that reference + Status = Signed.
 2. Repeat with Status = Not signed, then Billed.
 3. Repeat with Ref + Amount (excl. tax) = 100, then = 999.</t>
  </si>
  <si>
    <t>Status Signed -&gt; 1 row; Not signed -&gt; 0 rows; Billed -&gt; 0 rows.
 Amount 100 -&gt; 1 row; Amount 999 -&gt; 0 rows.</t>
  </si>
  <si>
    <t>LIST_PROPOSAL-04</t>
  </si>
  <si>
    <t>PRE: A proposal tagged QA23130284 in status 'Canceled' exists (from PROPOSAL_STATUS-08).
 1. Open Commercial &gt; Proposals.
 2. Open the Status filter drop-down and read its options.
 3. Search the canceled proposal by Ref and read its Status.</t>
  </si>
  <si>
    <t>The drop-down contains every status, including 'Canceled'; the canceled proposal can be found by filtering on Canceled.</t>
  </si>
  <si>
    <t>List</t>
  </si>
  <si>
    <t>Project &amp; Tasks Management</t>
  </si>
  <si>
    <t>Project and Task Management (Integrated 6 features)</t>
  </si>
  <si>
    <t>Vo Quang Huy</t>
  </si>
  <si>
    <t>admin_Pro/Tasks_CreatePro_01</t>
  </si>
  <si>
    <t>Verify creating a new project successfully when entering all valid information</t>
  </si>
  <si>
    <t>1. On the home page, open the Projects menu and select New lead or project
2. Enter ref code = "PJ2610-0100", title = "Thiết kế Website", select third party = "11Transport", visibility = "Everybody", lead status = "Prospection" and enter lead amount = "5000"
3. Click Create project button</t>
  </si>
  <si>
    <t>1. Projects management page is displayed
2. New lead or project creation form appears
3.
4. Project is created successfully with Draft status, the screen switches to detail page displaying all entered information
5. Displayed in Projects management</t>
  </si>
  <si>
    <t>admin_Pro/Tasks_CreatePro_02</t>
  </si>
  <si>
    <t>Verify creating a project when filling only required field (title)</t>
  </si>
  <si>
    <t>1. On the home page, open the Projects menu and select New lead or project
2. Enter title = "Dự án Báo cáo 02 tháng", leave optional fields blank
3. Click Create project button</t>
  </si>
  <si>
    <t>1. Projects management page is displayed
2. New lead or project creation form appears
3.
4. Project is created successfully, system auto-generates ref code and saves in Draft status</t>
  </si>
  <si>
    <t>admin_Pro/Tasks_CreatePro_03</t>
  </si>
  <si>
    <t>Verify error message when leaving required field (title) blank</t>
  </si>
  <si>
    <t>1. On the home page, open the Projects menu and select New lead or project
2. Leave title blank, select third party = "11Transport"
3. Click Create project button</t>
  </si>
  <si>
    <t>1. Projects management page is displayed
2. New lead or project creation form appears
3.
4. System displays error/warning message "Field 'Label/Title' is required" and prevents saving the project</t>
  </si>
  <si>
    <t>admin_Pro/Tasks_CreatePro_04</t>
  </si>
  <si>
    <t>Verify creating a project with restricted view permission (project contacts only)</t>
  </si>
  <si>
    <t>1. On the home page, open the Projects menu and select New lead or project
2. Enter title = "Dự án Tối mật Internal", select visibility = "Project contacts only"
3. Click Create project button</t>
  </si>
  <si>
    <t>1. Projects management page is displayed
2. New lead or project creation form appears
3.
4. Project is created successfully and only accounts in the Project Contacts list have view permissions</t>
  </si>
  <si>
    <t>admin_Pro/Tasks_CreatePro_05</t>
  </si>
  <si>
    <t>Verify Cancel button when entering data in the creation form</t>
  </si>
  <si>
    <t>1. On the home page, open the Projects menu and select New lead or project
2. Enter data = "Dự án Thử nghiệm"
3. Click Cancel button</t>
  </si>
  <si>
    <t>1. Projects management page is displayed
2. New lead or project creation form appears
3.
4. Creation operation is cancelled, data is not saved and system returns to the project list page</t>
  </si>
  <si>
    <t>admin_Pro/Tasks_CreatePro_06</t>
  </si>
  <si>
    <t>Verify creating a project when unchecking both options: Follow opportunity and Follow tasks or time spent</t>
  </si>
  <si>
    <t>1. On the home page, open the Projects menu and select New lead or project
2. Enter title = "Dự án Nội bộ Tham khảo"
3. Uncheck Follow opportunity and uncheck Follow tasks or time spent
4. Click Create project button</t>
  </si>
  <si>
    <t>1. Projects management page is displayed
2. New lead or project creation form appears
3.
4.
5. Project is created successfully, detail page hides opportunity tracking (Lead) section and task/time management tools.</t>
  </si>
  <si>
    <t>admin_Pro/Tasks_CreatePro_07</t>
  </si>
  <si>
    <t>Verify error message when checking Follow opportunity but leaving Lead status blank</t>
  </si>
  <si>
    <t>1. On the home page, open the Projects menu and select New lead or project
2. Enter title = "Dự án Cơ hội Mới"
3. Check Follow opportunity and Follow tasks or time spent
4. Leave Lead status field blank
5. Click Create project button</t>
  </si>
  <si>
    <t>1. Projects management page is displayed
2. New lead or project creation form appears
3.
4.
5.
6. System displays error message "You choose to follow an opportunity in this project, so you must also fill out the Lead status." and prevents project creation</t>
  </si>
  <si>
    <t>admin_Pro/Tasks_ValPro_01</t>
  </si>
  <si>
    <t>Verify validating project directly from detail page (Draft to Open)</t>
  </si>
  <si>
    <t>1. Open Projects list page and select a project currently in Draft status
2. Click Validate button at the bottom of the screen
3. When confirmation window appears, click Yes button</t>
  </si>
  <si>
    <t>1. Project detail screen displays with grey Draft badge
2. Approval confirmation window appears
3. Project switches to Open status in green, Validate button disappears</t>
  </si>
  <si>
    <t>admin_Pro/Tasks_ValPro_02</t>
  </si>
  <si>
    <t>Verify validating project by checking checkbox in list (bulk action)</t>
  </si>
  <si>
    <t>1. Open Projects list page
2. Check the checkbox on the left of the project in Draft status (e.g. PJ2610-0005)
3. In the Select action box above, select Validate
4. Click Confirm button</t>
  </si>
  <si>
    <t>1. Project list is displayed
2. Checkbox for project PJ2610-0005 is checked
3. Action list confirms Validate option
4. Project PJ2610-0005 is validated successfully, status changes from Draft to Open</t>
  </si>
  <si>
    <t>admin_Pro/Tasks_ValPro_03</t>
  </si>
  <si>
    <t>Verify filtering list to retrieve only Draft projects for validation</t>
  </si>
  <si>
    <t>1. Go to Projects list page
2. In the top-right Status filter box, click 'x' on Open tag to remove Open (keeping only Draft tag)
3. Click magnifying glass icon to search</t>
  </si>
  <si>
    <t>1. Project list screen is displayed
2. Open tag is removed from filter, keeping only Draft tag
3. System displays list of all projects currently in Draft status</t>
  </si>
  <si>
    <t>admin_Pro/Tasks_ValPro_04</t>
  </si>
  <si>
    <t>Verify error message when attempting to validate a project already in Open status</t>
  </si>
  <si>
    <t>1. Go to Projects list page
2. Check the checkbox on the left of the project in Open status (e.g. PJ2610-0013)
3. In Select action box, select Validate
4. Click Confirm button</t>
  </si>
  <si>
    <t>1. Project list screen is displayed
2. Checkbox for project PJ2610-0013 is checked
3. Screen displays action list
4. System displays error message "Object PJ2610-0013 must have status 'Draft' to be validated." and prevents re-validation</t>
  </si>
  <si>
    <t>admin_Pro/Tasks_CreateTask_01</t>
  </si>
  <si>
    <t>Verify creating a new task or event successfully with full information</t>
  </si>
  <si>
    <t>1. Go to Tasks/activities or Organized events menu and click New
2. Enter title = "Họp kế hoạch triển khai dự án"
3. Select type = "Meetings", select project = "PJ2610-0011, folio - Company Corp 1"
4. Click Create button</t>
  </si>
  <si>
    <t>1. New creation page is displayed
2. Form Create an event displays all fields
3.
4. Event is created successfully and switches to detail page showing exact entered information</t>
  </si>
  <si>
    <t>admin_Pro/Tasks_CreateTask_02</t>
  </si>
  <si>
    <t>Verify creating all-day event, changing Type, checking Event on all day(s) and unchecking Busy</t>
  </si>
  <si>
    <t>1. Open Create an event page
2. Enter title = "Sự kiện làm việc cả ngày"
3. Select type = "Other"
4. Check Event on all day(s) checkbox
5. Uncheck Busy for assignees
6. Select project = "PJ2610-0011, folio - Company Corp 1"
7. Click Create button</t>
  </si>
  <si>
    <t>1. Form Create an event is displayed
2.
3.
4. Timeframe switches to all-day event mode
5. Assignee status is not marked as busy in calendar
6.
7. Event is created successfully as an all-day event without marking busy status</t>
  </si>
  <si>
    <t>admin_Pro/Tasks_CreateTask_03</t>
  </si>
  <si>
    <t>Verify creating event or task with Type selected as Other</t>
  </si>
  <si>
    <t>1. Open Create an event page
2. Enter title = "Công việc phát sinh khác"
3. Select type = "Other"
4. Select project = "PJ2610-0011, folio - Company Corp 1"
5. Click Create button</t>
  </si>
  <si>
    <t>1. Form Create an event is displayed
2.
3.
4.
5. Event is saved successfully and correctly classified as Other in the system</t>
  </si>
  <si>
    <t>admin_Pro/Tasks_CreateTask_04</t>
  </si>
  <si>
    <t>Verify creating an event linked to a sub-task within a project</t>
  </si>
  <si>
    <t>1. Open Create an event page
2. Enter title = "Thảo luận chi tiết công việc"
3. Select project = "PJ2610-0011, folio - Company Corp 1"
4. In Task field, select a sub-task belonging to this project
5. Click Create button</t>
  </si>
  <si>
    <t>1. Form Create an event is displayed
2.
3.
4. List of sub-tasks under the project is displayed for selection
5. Event is created successfully and linked directly to the selected task</t>
  </si>
  <si>
    <t>admin_Pro/Tasks_UpdateProg_01</t>
  </si>
  <si>
    <t>Verify selecting task from project and updating Status / Progress to To do with % value</t>
  </si>
  <si>
    <t>1. Go to Leads / Projects menu, select List (or List open projects)
2. Select project PJ2610-0011 and open Event card page of the task inside project
3. Click Modify button at bottom of detail page
4. In Status / Progress section, select "To do" and enter % (e.g. 10%)
5. Click Save button</t>
  </si>
  <si>
    <t>1. Project list is displayed
2. Event card detail screen is displayed
3. Event card edit form appears
4.
5. Saved successfully, task info displays To do status with 10% progress</t>
  </si>
  <si>
    <t>admin_Pro/Tasks_UpdateProg_02</t>
  </si>
  <si>
    <t>Verify updating Status / Progress to In progress with 50% progress</t>
  </si>
  <si>
    <t>1. On task Event card detail page, click Modify button
2. In Status / Progress section, select "In progress" and enter progress = 50%
3. Click Save button</t>
  </si>
  <si>
    <t>1. Event card edit form is displayed
2.
3. Saved successfully, task switches to In progress status with 50% progress</t>
  </si>
  <si>
    <t>admin_Pro/Tasks_UpdateProg_03</t>
  </si>
  <si>
    <t>Verify updating Status / Progress to Finished (100% completed)</t>
  </si>
  <si>
    <t>1. On Event card detail page, click Modify button
2. In Status / Progress section, select "Finished" (system auto-sets 100%)
3. Click Save button</t>
  </si>
  <si>
    <t>1. Event card edit form is displayed
2.
3. Saved successfully, task switches to Finished and displays Complete (100%) badge</t>
  </si>
  <si>
    <t>admin_Pro/Tasks_UpdateProg_04</t>
  </si>
  <si>
    <t>Verify adding Location, Tags, Description info while keeping In progress status</t>
  </si>
  <si>
    <t>1. On Event card detail page, click Modify button
2. Fill info into Location, Tags/categories, Description fields
3. Keep Status / Progress as "In progress" (50%)
4. Click Save button</t>
  </si>
  <si>
    <t>1. Event card edit form is displayed
2.
3.
4. Saved successfully, additional information is updated fully and status remains In progress</t>
  </si>
  <si>
    <t>admin_Pro/Tasks_UpdateProg_05</t>
  </si>
  <si>
    <t>Verify deleting a task or event</t>
  </si>
  <si>
    <t>1. On Event card detail page, click Delete button at bottom right
2. When confirmation window appears, click Confirm (or Yes)</t>
  </si>
  <si>
    <t>1. Deletion confirmation dialog box appears
2. Event is completely deleted from system and screen returns to list page</t>
  </si>
  <si>
    <t>admin_Pro/Tasks_SearchPro_01</t>
  </si>
  <si>
    <t>Verify combined search when filling all fields in the filter bar</t>
  </si>
  <si>
    <t>1. Go to Projects menu and select List
2. Enter Ref keyword = "PJ2610", Project label = "folio", select Third party = "Company Corp 1", select Lead status = "Negotiation"
3. Click magnifying glass icon (or press Enter)</t>
  </si>
  <si>
    <t>1. Project list is displayed
2.
3. Filter processes and returns exact projects matching all entered conditions</t>
  </si>
  <si>
    <t>admin_Pro/Tasks_SearchPro_02</t>
  </si>
  <si>
    <t>Verify single field search (e.g. Project label)</t>
  </si>
  <si>
    <t>1. Go to Projects menu and select List
2. Enter keyword into Project label box (e.g. "folio")
3. Click magnifying glass icon (or press Enter)</t>
  </si>
  <si>
    <t>1. Project list is displayed
2.
3. List filters projects containing keyword "folio" in title</t>
  </si>
  <si>
    <t>admin_Pro/Tasks_StatusPro_01</t>
  </si>
  <si>
    <t>Verify changing project status in Modify form (choice between Draft, Open, Closed) and selecting Open</t>
  </si>
  <si>
    <t>1. In left menu, go to Leads / Projects and select List
2. Click to open any project (e.g. PJ2610-0011)
3. Click Modify button at bottom of detail page
4. In Status field, select Open option
5. Click Save button</t>
  </si>
  <si>
    <t>1. Project list is displayed
2. Project detail page is displayed
3. Edit form opens with Status field showing choices Draft, Open, Closed
4.
5. Project is saved successfully with green Open status</t>
  </si>
  <si>
    <t>admin_Pro/Tasks_StatusPro_02</t>
  </si>
  <si>
    <t>Verify changing project status from Open to Closed in Modify form</t>
  </si>
  <si>
    <t>1. On detail page of Open project, click Modify button
2. In Status field, change from Open to Closed
3. Click Save button</t>
  </si>
  <si>
    <t>1. Project edit form is displayed
2.
3. Project changes to Closed status successfully</t>
  </si>
  <si>
    <t>admin_Pro/Tasks_StatusPro_03</t>
  </si>
  <si>
    <t>Verify re-opening project from Closed to Open in Modify form</t>
  </si>
  <si>
    <t>1. On detail page of Closed project, click Modify button
2. In Status field, change from Closed to Open
3. Click Save button</t>
  </si>
  <si>
    <t>1. Project edit form is displayed
2.
3. Project is re-opened successfully, showing status changed back to Open</t>
  </si>
  <si>
    <t>admin_Pro/Tasks_StatusPro_04</t>
  </si>
  <si>
    <t>Verify closing project directly using Close button outside detail screen</t>
  </si>
  <si>
    <t>1. On detail page of Open project, click Close button directly from action row at bottom
2. When confirmation window appears, click Confirm (or Yes)</t>
  </si>
  <si>
    <t>1. Project close confirmation dialog box appears
2. Project switches directly to Closed status without entering Modify form</t>
  </si>
  <si>
    <t>admin_Pro/Tasks_StatusPro_05</t>
  </si>
  <si>
    <t>Verify returning project to draft using Back to draft button directly outside</t>
  </si>
  <si>
    <t>1. On project detail page, click Back to draft button directly from action row at bottom
2. When confirmation window appears, click Confirm (or Yes)</t>
  </si>
  <si>
    <t>1. Return to draft confirmation dialog box displays
2. Project status changes to Draft successfully and Validate button reappears</t>
  </si>
  <si>
    <t>CONTACT</t>
  </si>
  <si>
    <t>Contact/Address</t>
  </si>
  <si>
    <t>Tran Anh Tuan</t>
  </si>
  <si>
    <t>ADD_CONTACT-01</t>
  </si>
  <si>
    <t>Create a contact using the mandatory field only</t>
  </si>
  <si>
    <t>PRE: Signed in; last name QA23130372-C01-[RUN] does not exist.
 1. Open Third parties &gt; Contacts/Addresses &gt; New Contact/Address.
 2. Enter Last name / Label = QA23130372-C01-[RUN].
 3. Keep all optional fields blank and defaults unchanged.
 4. Click ADD; open the saved contact card.</t>
  </si>
  <si>
    <t>Contact is created; the contact card shows the exact Last name entered; no optional field is required.</t>
  </si>
  <si>
    <t>ADD_CONTACT-02</t>
  </si>
  <si>
    <t>Create a contact with full information</t>
  </si>
  <si>
    <t>PRE: At least one third party exists.
 1. Open Third parties &gt; Contacts/Addresses &gt; New Contact/Address.
 2. Select Third party = an existing customer; enter Last name = QA23130372-C02-[RUN]; First name = Anh; Job position = QA Engineer.
 3. Enter Address = 12 Nguyen Hue; Zip = 700000; Town = Ho Chi Minh; Country = Vietnam.
 4. Enter Bus. phone = 0281234567; Mobile = 0901234567 (country code Vietnam +84); Email = qa.c02@example.com; Visibility = Shared; Date of birth = 15/05/2000.
 5. Click ADD; review the contact card.</t>
  </si>
  <si>
    <t>Contact is created; every entered value is displayed on the contact card (birth date in the Personal data tab).</t>
  </si>
  <si>
    <t>ADD_CONTACT-03</t>
  </si>
  <si>
    <t>Reject creation when Last name is empty</t>
  </si>
  <si>
    <t>PRE: On New Contact/Address form.
 1. Leave Last name / Label blank.
 2. Enter First name = NoLastName.
 3. Click ADD.
 4. Check the message and the contact list.</t>
  </si>
  <si>
    <t>Creation is prevented; error "Field 'Last name / Label' is required" is shown; no new contact is added.</t>
  </si>
  <si>
    <t>ADD_CONTACT-04</t>
  </si>
  <si>
    <t>Reject a Last name containing only spaces</t>
  </si>
  <si>
    <t>PRE: On New Contact/Address form.
 1. Enter Last name / Label = 5 spaces.
 2. Click ADD.
 3. Check the message and the contact list.</t>
  </si>
  <si>
    <t>Creation is prevented and Last name / Label is reported as required; no blank-named contact is created.</t>
  </si>
  <si>
    <t>ADD_CONTACT-05</t>
  </si>
  <si>
    <t>Reject an invalid email format</t>
  </si>
  <si>
    <t>PRE: On New Contact/Address form.
 1. Enter Last name = QA23130372-C05-[RUN].
 2. Enter Email = qa.test@ (missing domain).
 3. Click ADD.</t>
  </si>
  <si>
    <t>Creation is prevented; error "Email address qa.test@ is incorrect" is shown.</t>
  </si>
  <si>
    <t>ADD_CONTACT-06</t>
  </si>
  <si>
    <t>Accept a valid email containing special characters</t>
  </si>
  <si>
    <t>PRE: On New Contact/Address form.
 1. Enter Last name = QA23130372-C06-[RUN].
 2. Enter Email = qa.tran+test@example.com.
 3. Click ADD; review the card.</t>
  </si>
  <si>
    <t>Contact is created; the email is stored and displayed exactly as entered.</t>
  </si>
  <si>
    <t>ADD_CONTACT-07</t>
  </si>
  <si>
    <t>Last name with exactly 80 characters (upper boundary)</t>
  </si>
  <si>
    <t>PRE: On New Contact/Address form.
 1. Enter Last name = 'QA23130372-C07-' followed by 'A' characters up to 80 characters in total.
 2. Click ADD; review the card.</t>
  </si>
  <si>
    <t>Contact is created; the full 80-character Last name is displayed.</t>
  </si>
  <si>
    <t>ADD_CONTACT-08</t>
  </si>
  <si>
    <t>Last name with 81 characters (above boundary)</t>
  </si>
  <si>
    <t>PRE: On New Contact/Address form.
 1. Paste an 81-character Last name starting with 'QA23130372-C08-'.
 2. Observe the field length.
 3. Click ADD; review the card.</t>
  </si>
  <si>
    <t>The field accepts at most 80 characters (maxlength = 80); the contact is saved with the first 80 characters only.</t>
  </si>
  <si>
    <t>ADD_CONTACT-09</t>
  </si>
  <si>
    <t>Create a contact with Vietnamese (Unicode) characters</t>
  </si>
  <si>
    <t>PRE: On New Contact/Address form.
 1. Enter Last name = QA23130372-C09-Trần; First name = Ánh Tuấn.
 2. Click ADD.
 3. Check the card and the contact list.</t>
  </si>
  <si>
    <t>Contact is created; Vietnamese characters are displayed correctly on the card and in the list.</t>
  </si>
  <si>
    <t>ADD_CONTACT-10</t>
  </si>
  <si>
    <t>Do not execute HTML/script entered in Last name</t>
  </si>
  <si>
    <t>PRE: On New Contact/Address form.
 1. Enter Last name = QA23130372-C10-&lt;script&gt;alert(1)&lt;/script&gt;.
 2. Click ADD.
 3. Open the card and the contact list.</t>
  </si>
  <si>
    <t>Value is stored as plain text or the tags are stripped; no alert pop-up appears on the card or in the list.</t>
  </si>
  <si>
    <t>ADD_CONTACT-11</t>
  </si>
  <si>
    <t>Create a contact linked to a third party</t>
  </si>
  <si>
    <t>PRE: At least one third party exists.
 1. Open Third parties &gt; Contacts/Addresses &gt; New Contact/Address.
 2. Select Third party = an existing customer; enter Last name = QA23130372-C11-[RUN].
 3. Click ADD.
 4. Open that third party &gt; Contacts/Addresses tab.</t>
  </si>
  <si>
    <t>Contact is created and is listed in the Contacts/Addresses tab of the selected third party.</t>
  </si>
  <si>
    <t>ADD_CONTACT-12</t>
  </si>
  <si>
    <t>PRE: On New Contact/Address form.
 1. Enter First name = Recovery; leave Last name empty.
 2. Click ADD and observe the required-field error.
 3. Enter Last name = QA23130372-C12-[RUN].
 4. Click ADD again; inspect the card.</t>
  </si>
  <si>
    <t>First attempt is blocked; after entering Last name, exactly one contact is created and First name 'Recovery' is kept.</t>
  </si>
  <si>
    <t>ADD_CONTACT-13</t>
  </si>
  <si>
    <t>Cancel a filled New Contact/Address form</t>
  </si>
  <si>
    <t>PRE: On New Contact/Address form.
 1. Enter Last name = QA23130372-C13-[RUN].
 2. Click CANCEL.
 3. Open Third parties &gt; Contacts/Addresses &gt; List and search for QA23130372-C13.</t>
  </si>
  <si>
    <t>No contact is created; searching the list returns no record for {P}-C13.</t>
  </si>
  <si>
    <t>LIST_CONTACT-01</t>
  </si>
  <si>
    <t>Open the contact list and verify core columns</t>
  </si>
  <si>
    <t>PRE: Signed in.
 1. Open Third parties &gt; Contacts/Addresses &gt; List.
 2. Observe the table header and paging.</t>
  </si>
  <si>
    <t>List 'Contacts/Addresses (n)' is displayed with columns Last name, First name, Phone, Mobile, Email, Third party, Alias Name, Visibility and Status, plus a filter row and paging.</t>
  </si>
  <si>
    <t>LIST_CONTACT-02</t>
  </si>
  <si>
    <t>Search a prepared contact by Last name</t>
  </si>
  <si>
    <t>PRE: Contact QA23130372-C01-[RUN] exists.
 1. Open Third parties &gt; Contacts/Addresses &gt; List.
 2. Type QA23130372-C01 in the Last name filter.
 3. Click the search (magnifier) icon.</t>
  </si>
  <si>
    <t>Only contacts whose Last name contains '{P}-C01' are displayed.</t>
  </si>
  <si>
    <t>LIST_CONTACT-03</t>
  </si>
  <si>
    <t>Search a prepared contact by Email</t>
  </si>
  <si>
    <t>PRE: Contact with email qa.c02@example.com exists.
 1. Open Third parties &gt; Contacts/Addresses &gt; List.
 2. Type qa.c02 in the Email filter.
 3. Click search.</t>
  </si>
  <si>
    <t>The contact {P}-C02-[RUN] is displayed; unrelated contacts are not listed.</t>
  </si>
  <si>
    <t>LIST_CONTACT-04</t>
  </si>
  <si>
    <t>Search with a keyword that does not exist</t>
  </si>
  <si>
    <t>PRE: Signed in.
 1. Open Third parties &gt; Contacts/Addresses &gt; List.
 2. Type ZZZ-NO-MATCH-999 in the Last name filter.
 3. Click search.</t>
  </si>
  <si>
    <t>No record is returned (list shows 'No record found').</t>
  </si>
  <si>
    <t>LIST_CONTACT-05</t>
  </si>
  <si>
    <t>Verify saved contact details after page reload</t>
  </si>
  <si>
    <t>PRE: Contact QA23130372-C02-[RUN] exists.
 1. Open its contact card from the list.
 2. Reload the page (F5).
 3. Compare all fields with the data entered at creation.</t>
  </si>
  <si>
    <t>All saved values (third party, name, address, phones, email; birth date in Personal data tab) are unchanged after reload.</t>
  </si>
  <si>
    <t>EDIT_CONTACT-01</t>
  </si>
  <si>
    <t>Open MODIFY for an existing contact</t>
  </si>
  <si>
    <t>PRE: Contact QA23130372-C02-[RUN] exists.
 1. Open the contact card.
 2. Click MODIFY.</t>
  </si>
  <si>
    <t>Edit form opens with all current values pre-filled; SAVE and CANCEL buttons are available.</t>
  </si>
  <si>
    <t>EDIT_CONTACT-02</t>
  </si>
  <si>
    <t>Update Last name and Job position</t>
  </si>
  <si>
    <t>PRE: Contact QA23130372-C01-[RUN] exists.
 1. Open the card &gt; MODIFY.
 2. Change Last name = QA23130372-U02-[RUN]; Job position = Tester.
 3. Click SAVE; reload the card.</t>
  </si>
  <si>
    <t>Changes are saved and persist after reload; other fields are unchanged.</t>
  </si>
  <si>
    <t>EDIT_CONTACT-03</t>
  </si>
  <si>
    <t>Change the linked third party</t>
  </si>
  <si>
    <t>PRE: Contact QA23130372-C11-[RUN] is linked to third party A; third party B exists.
 1. Open the card &gt; MODIFY.
 2. Select Third party = B.
 3. Click SAVE.
 4. Check the Contacts/Addresses tab of A and B.</t>
  </si>
  <si>
    <t>Contact now appears under third party B and no longer under third party A.</t>
  </si>
  <si>
    <t>EDIT_CONTACT-04</t>
  </si>
  <si>
    <t>Reject clearing Last name during update</t>
  </si>
  <si>
    <t>PRE: Contact QA23130372-C06-[RUN] exists.
 1. Open the card &gt; MODIFY.
 2. Clear Last name / Label.
 3. Click SAVE.</t>
  </si>
  <si>
    <t>Update is rejected; error "Field 'Name / Label' is required" is shown; stored data is unchanged.</t>
  </si>
  <si>
    <t>EDIT_CONTACT-05</t>
  </si>
  <si>
    <t>Reject an invalid email during update</t>
  </si>
  <si>
    <t>PRE: Contact QA23130372-C06-[RUN] exists.
 1. Open the card &gt; MODIFY.
 2. Change Email = qa@@example.
 3. Click SAVE.</t>
  </si>
  <si>
    <t>Update is rejected; error "Email address qa@@example is incorrect" is shown; previous email is kept.</t>
  </si>
  <si>
    <t>EDIT_CONTACT-06</t>
  </si>
  <si>
    <t>Cancel changes in the edit form</t>
  </si>
  <si>
    <t>PRE: Contact QA23130372-C06-[RUN] exists.
 1. Open the card &gt; MODIFY.
 2. Change Last name = NOT-SAVED.
 3. Click CANCEL.</t>
  </si>
  <si>
    <t>No change is saved; the card still shows the original Last name.</t>
  </si>
  <si>
    <t>EDIT_CONTACT-07</t>
  </si>
  <si>
    <t>Disable and reactivate a contact</t>
  </si>
  <si>
    <t>PRE: Active contact QA23130372-C09-[RUN] exists.
 1. Open the card; click DISABLE.
 2. Check the status.
 3. Click REACTIVATE; check the status again.</t>
  </si>
  <si>
    <t>After step 1 the status is Disabled; after step 3 the status is Enabled again.</t>
  </si>
  <si>
    <t>DELETE_CONTACT-01</t>
  </si>
  <si>
    <t>Deletion requires an explicit confirmation</t>
  </si>
  <si>
    <t>PRE: Own disposable contact QA23130372-C12-[RUN] exists.
 1. Open the card.
 2. Click DELETE.
 3. Observe the dialog without answering.</t>
  </si>
  <si>
    <t>A confirmation dialog 'Delete a contact/address' with question 'Are you sure you want to delete this contact?' and Yes/No options is displayed.</t>
  </si>
  <si>
    <t>DELETE_CONTACT-02</t>
  </si>
  <si>
    <t>Cancel the delete operation</t>
  </si>
  <si>
    <t>PRE: Own disposable contact QA23130372-C12-[RUN] exists.
 1. Open the card &gt; DELETE.
 2. Choose No.
 3. Search the contact in the list.</t>
  </si>
  <si>
    <t>Dialog closes; the contact still exists and is found in the list.</t>
  </si>
  <si>
    <t>DELETE_CONTACT-03</t>
  </si>
  <si>
    <t>Delete one disposable contact</t>
  </si>
  <si>
    <t>PRE: Own disposable contact QA23130372-C12-[RUN] exists.
 1. Open the card &gt; DELETE.
 2. Choose Yes.
 3. Search QA23130372-C12 in the list.</t>
  </si>
  <si>
    <t>Contact is deleted; the user is returned to the list and the contact is no longer found.</t>
  </si>
  <si>
    <t>DELETE_CONTACT-04</t>
  </si>
  <si>
    <t>Delete a contact linked to a third party</t>
  </si>
  <si>
    <t>PRE: Contact QA23130372-C11-[RUN] is linked to a third party.
 1. Open the card &gt; DELETE &gt; Yes.
 2. Open the related third party.</t>
  </si>
  <si>
    <t>Contact is deleted; the third party still exists and its Contacts/Addresses tab no longer shows the contact.</t>
  </si>
  <si>
    <t>DELETE_CONTACT-05</t>
  </si>
  <si>
    <t>Delete several contacts with a mass action</t>
  </si>
  <si>
    <t>PRE: Own contacts QA23130372-C06-[RUN] and QA23130372-C09-[RUN] exist.
 1. Open Third parties &gt; Contacts/Addresses &gt; List; filter Last name = QA23130372.
 2. Tick the two contacts.
 3. Select mass action Delete &gt; Confirm &gt; Yes.</t>
  </si>
  <si>
    <t>Both selected contacts are deleted; other contacts are not affected.</t>
  </si>
  <si>
    <t>ADD_CONTACT-06, ADD_CONTACT-09</t>
  </si>
  <si>
    <t>TEST REPORT</t>
  </si>
  <si>
    <t>DOLIBARR_Test Report</t>
  </si>
  <si>
    <t>Notes</t>
  </si>
  <si>
    <t>Module code</t>
  </si>
  <si>
    <t>Pass</t>
  </si>
  <si>
    <t>Fail</t>
  </si>
  <si>
    <t>Number of  test cases</t>
  </si>
  <si>
    <t>PROJECT TASK</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</si>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</sst>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d\-mmm\-yy"/>
    <numFmt numFmtId="166" formatCode="dd/mm/yyyy"/>
  </numFmts>
  <fonts count="42">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sz val="11"/>
      <color theme="1"/>
      <name val="Calibri"/>
    </font>
    <font>
      <i/>
      <sz val="11"/>
      <color rgb="FF38761D"/>
      <name val="Tahoma"/>
    </font>
    <font>
      <sz val="11"/>
      <color theme="1"/>
      <name val="Tahoma"/>
    </font>
    <font>
      <sz val="11"/>
      <color theme="1"/>
      <name val="Calibri"/>
      <scheme val="minor"/>
    </font>
    <font>
      <sz val="11"/>
      <color rgb="FF000000"/>
      <name val="Tahoma"/>
    </font>
    <font>
      <i/>
      <sz val="11"/>
      <color rgb="FF008000"/>
      <name val="Tahoma"/>
    </font>
    <font>
      <b/>
      <sz val="10"/>
      <color rgb="FF000000"/>
      <name val="Tahoma"/>
    </font>
    <font>
      <b/>
      <sz val="10"/>
      <color rgb="FFFF0000"/>
      <name val="Tahoma"/>
    </font>
    <font>
      <b/>
      <sz val="10"/>
      <color theme="1"/>
      <name val="Tahoma"/>
    </font>
    <font>
      <sz val="11"/>
      <color rgb="FF0000FF"/>
      <name val="MS PGothic"/>
    </font>
    <font>
      <sz val="10"/>
      <color rgb="FF0000FF"/>
      <name val="Tahoma"/>
    </font>
    <font>
      <sz val="11"/>
      <color rgb="FF0000FF"/>
      <name val="Tahoma"/>
    </font>
    <font>
      <sz val="11"/>
      <color rgb="FF0000FF"/>
      <name val="&quot;MS PGothic&quot;"/>
    </font>
    <font>
      <sz val="11"/>
      <color rgb="FF0000FF"/>
      <name val="Tahoma"/>
    </font>
    <font>
      <sz val="11"/>
      <color theme="1"/>
      <name val="&quot;Google Sans Text&quot;"/>
    </font>
    <font>
      <sz val="11"/>
      <color theme="1"/>
      <name val="Arial"/>
    </font>
    <font>
      <sz val="11"/>
      <color rgb="FF000000"/>
      <name val="Arial"/>
    </font>
    <font>
      <sz val="11"/>
      <color theme="1"/>
      <name val="Arial"/>
    </font>
    <font>
      <sz val="9"/>
      <color theme="1"/>
      <name val="Arial"/>
    </font>
    <font>
      <b/>
      <sz val="9"/>
      <color theme="1"/>
      <name val="Arial"/>
    </font>
    <font>
      <sz val="10"/>
      <color rgb="FF000000"/>
      <name val="Tahoma"/>
    </font>
    <font>
      <sz val="10"/>
      <color rgb="FFFF0000"/>
      <name val="Tahoma"/>
    </font>
    <font>
      <sz val="10"/>
      <color theme="1"/>
      <name val="Calibri"/>
    </font>
    <font>
      <i/>
      <sz val="10"/>
      <color rgb="FF000000"/>
      <name val="Tahoma"/>
    </font>
    <font>
      <b/>
      <sz val="11"/>
      <color theme="1"/>
      <name val="Tahoma"/>
    </font>
    <font>
      <sz val="9"/>
      <color rgb="FF808080"/>
      <name val="Tahoma"/>
    </font>
    <font>
      <b/>
      <sz val="11"/>
      <color rgb="FFFFFFFF"/>
      <name val="Tahoma"/>
    </font>
    <font>
      <b/>
      <sz val="11"/>
      <color rgb="FF000000"/>
      <name val="Tahoma"/>
    </font>
    <font>
      <sz val="11"/>
      <color rgb="FF000000"/>
      <name val="Calibri"/>
    </font>
    <font>
      <b/>
      <sz val="10"/>
      <color theme="1"/>
      <name val="Calibri"/>
    </font>
    <font>
      <b/>
      <sz val="11"/>
      <color rgb="FFFFFFFF"/>
      <name val="Calibri"/>
    </font>
    <font>
      <i/>
      <sz val="11"/>
      <color rgb="FF000000"/>
      <name val="Calibri"/>
      <scheme val="minor"/>
    </font>
    <font>
      <sz val="10"/>
      <color rgb="FFFFFFFF"/>
      <name val="Tahoma"/>
    </font>
    <font>
      <b/>
      <sz val="10"/>
      <color rgb="FF0000FF"/>
      <name val="Tahoma"/>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rgb="FFF2F2F2"/>
        <bgColor rgb="FFF2F2F2"/>
      </patternFill>
    </fill>
    <fill>
      <patternFill patternType="solid">
        <fgColor rgb="FF1F4E79"/>
        <bgColor rgb="FF1F4E79"/>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top/>
      <bottom/>
      <diagonal/>
    </border>
    <border>
      <left/>
      <right style="thin">
        <color rgb="FF000000"/>
      </right>
      <top/>
      <bottom/>
      <diagonal/>
    </border>
    <border>
      <left style="thin">
        <color rgb="FFC4C7C5"/>
      </left>
      <right style="thin">
        <color rgb="FFC4C7C5"/>
      </right>
      <top style="thin">
        <color rgb="FFC4C7C5"/>
      </top>
      <bottom style="thin">
        <color rgb="FFC4C7C5"/>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thin">
        <color rgb="FFD9D9D9"/>
      </left>
      <right style="thin">
        <color rgb="FFD9D9D9"/>
      </right>
      <top style="thin">
        <color rgb="FFD9D9D9"/>
      </top>
      <bottom style="thin">
        <color rgb="FFD9D9D9"/>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808080"/>
      </left>
      <right style="thin">
        <color rgb="FF808080"/>
      </right>
      <top style="thin">
        <color rgb="FF808080"/>
      </top>
      <bottom style="thin">
        <color rgb="FF808080"/>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medium">
        <color rgb="FF000000"/>
      </right>
      <top/>
      <bottom style="thin">
        <color rgb="FF000000"/>
      </bottom>
      <diagonal/>
    </border>
    <border>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s>
  <cellStyleXfs count="1">
    <xf numFmtId="0" fontId="0" fillId="0" borderId="0"/>
  </cellStyleXfs>
  <cellXfs count="238">
    <xf numFmtId="0" fontId="0" fillId="0" borderId="0" xfId="0" applyFont="1" applyAlignment="1"/>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6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5" xfId="0" applyNumberFormat="1" applyFont="1" applyBorder="1" applyAlignment="1">
      <alignment vertical="top" wrapText="1"/>
    </xf>
    <xf numFmtId="49" fontId="1" fillId="0" borderId="5" xfId="0" applyNumberFormat="1" applyFont="1" applyBorder="1" applyAlignment="1">
      <alignment vertical="top"/>
    </xf>
    <xf numFmtId="0" fontId="1" fillId="0" borderId="5" xfId="0" applyFont="1" applyBorder="1" applyAlignment="1">
      <alignment vertical="top"/>
    </xf>
    <xf numFmtId="0" fontId="6" fillId="0" borderId="5" xfId="0" applyFont="1" applyBorder="1" applyAlignment="1">
      <alignment vertical="top" wrapText="1"/>
    </xf>
    <xf numFmtId="0" fontId="8" fillId="0" borderId="0" xfId="0" applyFont="1" applyAlignment="1">
      <alignment vertical="top"/>
    </xf>
    <xf numFmtId="49" fontId="9" fillId="0" borderId="5" xfId="0" applyNumberFormat="1" applyFont="1" applyBorder="1" applyAlignment="1">
      <alignment vertical="top"/>
    </xf>
    <xf numFmtId="49" fontId="10" fillId="0" borderId="5" xfId="0" applyNumberFormat="1" applyFont="1" applyBorder="1" applyAlignment="1">
      <alignment vertical="top"/>
    </xf>
    <xf numFmtId="0" fontId="10" fillId="0" borderId="5" xfId="0" applyFont="1" applyBorder="1" applyAlignment="1">
      <alignment vertical="top"/>
    </xf>
    <xf numFmtId="0" fontId="9" fillId="0" borderId="5" xfId="0" applyFont="1" applyBorder="1" applyAlignment="1">
      <alignment vertical="top"/>
    </xf>
    <xf numFmtId="0" fontId="11" fillId="0" borderId="5" xfId="0" applyFont="1" applyBorder="1" applyAlignment="1"/>
    <xf numFmtId="49" fontId="12" fillId="0" borderId="5" xfId="0" applyNumberFormat="1" applyFont="1" applyBorder="1" applyAlignment="1">
      <alignment vertical="top"/>
    </xf>
    <xf numFmtId="0" fontId="12" fillId="0" borderId="5" xfId="0" applyFont="1" applyBorder="1" applyAlignment="1">
      <alignment vertical="top"/>
    </xf>
    <xf numFmtId="0" fontId="13" fillId="0" borderId="5" xfId="0" applyFont="1" applyBorder="1" applyAlignment="1">
      <alignment vertical="top"/>
    </xf>
    <xf numFmtId="49" fontId="6" fillId="0" borderId="5" xfId="0" applyNumberFormat="1" applyFont="1" applyBorder="1" applyAlignment="1">
      <alignment horizontal="left" vertical="top"/>
    </xf>
    <xf numFmtId="165" fontId="11" fillId="0" borderId="5" xfId="0" applyNumberFormat="1" applyFont="1" applyBorder="1"/>
    <xf numFmtId="0" fontId="11" fillId="0" borderId="5" xfId="0" applyFont="1" applyBorder="1"/>
    <xf numFmtId="165" fontId="11" fillId="0" borderId="5" xfId="0" applyNumberFormat="1" applyFont="1" applyBorder="1" applyAlignment="1">
      <alignment horizontal="left"/>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14" fillId="2" borderId="1" xfId="0" applyFont="1" applyFill="1" applyBorder="1" applyAlignment="1">
      <alignment horizontal="left"/>
    </xf>
    <xf numFmtId="0" fontId="15"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6" fillId="2" borderId="1" xfId="0" applyFont="1" applyFill="1" applyBorder="1" applyAlignment="1">
      <alignment horizontal="center"/>
    </xf>
    <xf numFmtId="1" fontId="7" fillId="4" borderId="18" xfId="0" applyNumberFormat="1" applyFont="1" applyFill="1" applyBorder="1" applyAlignment="1">
      <alignment horizontal="center" vertical="center"/>
    </xf>
    <xf numFmtId="0" fontId="7" fillId="4" borderId="19" xfId="0" applyFont="1" applyFill="1" applyBorder="1" applyAlignment="1">
      <alignment horizontal="center" vertical="center"/>
    </xf>
    <xf numFmtId="0" fontId="7" fillId="4" borderId="20" xfId="0" applyFont="1" applyFill="1" applyBorder="1" applyAlignment="1">
      <alignment horizontal="center" vertical="center"/>
    </xf>
    <xf numFmtId="0" fontId="7" fillId="4" borderId="21" xfId="0" applyFont="1" applyFill="1" applyBorder="1" applyAlignment="1">
      <alignment horizontal="center" vertical="center"/>
    </xf>
    <xf numFmtId="1" fontId="1" fillId="2" borderId="22" xfId="0" applyNumberFormat="1" applyFont="1" applyFill="1" applyBorder="1" applyAlignment="1">
      <alignment vertical="center"/>
    </xf>
    <xf numFmtId="49" fontId="1" fillId="2" borderId="23" xfId="0" applyNumberFormat="1" applyFont="1" applyFill="1" applyBorder="1" applyAlignment="1">
      <alignment horizontal="left" vertical="center"/>
    </xf>
    <xf numFmtId="0" fontId="17" fillId="2" borderId="23" xfId="0" applyFont="1" applyFill="1" applyBorder="1" applyAlignment="1">
      <alignment horizontal="left" vertical="center"/>
    </xf>
    <xf numFmtId="0" fontId="18" fillId="2" borderId="23" xfId="0" applyFont="1" applyFill="1" applyBorder="1" applyAlignment="1">
      <alignment horizontal="left" vertical="center"/>
    </xf>
    <xf numFmtId="0" fontId="1" fillId="2" borderId="24" xfId="0" applyFont="1" applyFill="1" applyBorder="1" applyAlignment="1">
      <alignment horizontal="left" vertical="center" wrapText="1"/>
    </xf>
    <xf numFmtId="49" fontId="6" fillId="2" borderId="23" xfId="0" applyNumberFormat="1" applyFont="1" applyFill="1" applyBorder="1" applyAlignment="1">
      <alignment horizontal="left" vertical="center"/>
    </xf>
    <xf numFmtId="0" fontId="1" fillId="2" borderId="23" xfId="0" applyFont="1" applyFill="1" applyBorder="1" applyAlignment="1">
      <alignment horizontal="left" vertical="center"/>
    </xf>
    <xf numFmtId="0" fontId="8" fillId="2" borderId="1" xfId="0" applyFont="1" applyFill="1" applyBorder="1" applyAlignment="1"/>
    <xf numFmtId="1" fontId="10" fillId="2" borderId="22" xfId="0" applyNumberFormat="1" applyFont="1" applyFill="1" applyBorder="1" applyAlignment="1">
      <alignment horizontal="right"/>
    </xf>
    <xf numFmtId="49" fontId="10" fillId="2" borderId="23" xfId="0" applyNumberFormat="1" applyFont="1" applyFill="1" applyBorder="1"/>
    <xf numFmtId="0" fontId="19" fillId="2" borderId="23" xfId="0" applyFont="1" applyFill="1" applyBorder="1"/>
    <xf numFmtId="0" fontId="10" fillId="2" borderId="24" xfId="0" applyFont="1" applyFill="1" applyBorder="1" applyAlignment="1">
      <alignment wrapText="1"/>
    </xf>
    <xf numFmtId="1" fontId="12" fillId="2" borderId="25" xfId="0" applyNumberFormat="1" applyFont="1" applyFill="1" applyBorder="1" applyAlignment="1">
      <alignment horizontal="right" vertical="center" wrapText="1"/>
    </xf>
    <xf numFmtId="49" fontId="12" fillId="2" borderId="0" xfId="0" applyNumberFormat="1" applyFont="1" applyFill="1" applyAlignment="1">
      <alignment horizontal="left" vertical="center" wrapText="1"/>
    </xf>
    <xf numFmtId="0" fontId="20" fillId="2" borderId="0" xfId="0" applyFont="1" applyFill="1" applyAlignment="1">
      <alignment horizontal="left" vertical="center" wrapText="1"/>
    </xf>
    <xf numFmtId="0" fontId="19" fillId="2" borderId="0" xfId="0" applyFont="1" applyFill="1" applyAlignment="1">
      <alignment horizontal="left" vertical="center" wrapText="1"/>
    </xf>
    <xf numFmtId="0" fontId="12" fillId="2" borderId="0" xfId="0" applyFont="1" applyFill="1" applyAlignment="1">
      <alignment horizontal="left" vertical="center" wrapText="1"/>
    </xf>
    <xf numFmtId="1" fontId="1" fillId="2" borderId="22" xfId="0" applyNumberFormat="1" applyFont="1" applyFill="1" applyBorder="1" applyAlignment="1">
      <alignment vertical="center"/>
    </xf>
    <xf numFmtId="49" fontId="12" fillId="2" borderId="0" xfId="0" applyNumberFormat="1" applyFont="1" applyFill="1" applyAlignment="1">
      <alignment horizontal="left" vertical="center"/>
    </xf>
    <xf numFmtId="0" fontId="21" fillId="2" borderId="0" xfId="0" applyFont="1" applyFill="1" applyAlignment="1">
      <alignment horizontal="left" vertical="center" wrapText="1"/>
    </xf>
    <xf numFmtId="0" fontId="12" fillId="2" borderId="26" xfId="0" applyFont="1" applyFill="1" applyBorder="1" applyAlignment="1">
      <alignment horizontal="left" vertical="center" wrapText="1"/>
    </xf>
    <xf numFmtId="49" fontId="12" fillId="2" borderId="0" xfId="0" applyNumberFormat="1" applyFont="1" applyFill="1" applyAlignment="1">
      <alignment horizontal="left" vertical="center"/>
    </xf>
    <xf numFmtId="0" fontId="12" fillId="2" borderId="0" xfId="0" applyFont="1" applyFill="1" applyAlignment="1">
      <alignment horizontal="left" vertical="center" wrapText="1"/>
    </xf>
    <xf numFmtId="1" fontId="22" fillId="0" borderId="27" xfId="0" applyNumberFormat="1" applyFont="1" applyBorder="1" applyAlignment="1"/>
    <xf numFmtId="49" fontId="22" fillId="0" borderId="27" xfId="0" applyNumberFormat="1" applyFont="1" applyBorder="1" applyAlignment="1"/>
    <xf numFmtId="0" fontId="22" fillId="0" borderId="27" xfId="0" applyFont="1" applyBorder="1" applyAlignment="1"/>
    <xf numFmtId="0" fontId="23" fillId="5" borderId="23" xfId="0" applyFont="1" applyFill="1" applyBorder="1" applyAlignment="1">
      <alignment horizontal="center" wrapText="1"/>
    </xf>
    <xf numFmtId="0" fontId="8" fillId="0" borderId="0" xfId="0" applyFont="1"/>
    <xf numFmtId="0" fontId="23" fillId="0" borderId="28" xfId="0" applyFont="1" applyBorder="1" applyAlignment="1">
      <alignment wrapText="1"/>
    </xf>
    <xf numFmtId="0" fontId="23" fillId="0" borderId="23" xfId="0" applyFont="1" applyBorder="1" applyAlignment="1">
      <alignment wrapText="1"/>
    </xf>
    <xf numFmtId="0" fontId="8" fillId="0" borderId="23" xfId="0" applyFont="1" applyBorder="1"/>
    <xf numFmtId="0" fontId="8" fillId="0" borderId="29" xfId="0" applyFont="1" applyBorder="1"/>
    <xf numFmtId="0" fontId="23" fillId="0" borderId="29" xfId="0" applyFont="1" applyBorder="1" applyAlignment="1">
      <alignment wrapText="1"/>
    </xf>
    <xf numFmtId="0" fontId="23" fillId="0" borderId="30" xfId="0" applyFont="1" applyBorder="1" applyAlignment="1">
      <alignment wrapText="1"/>
    </xf>
    <xf numFmtId="0" fontId="8" fillId="0" borderId="30" xfId="0" applyFont="1" applyBorder="1"/>
    <xf numFmtId="0" fontId="8" fillId="0" borderId="28" xfId="0" applyFont="1" applyBorder="1"/>
    <xf numFmtId="0" fontId="23" fillId="0" borderId="0" xfId="0" applyFont="1"/>
    <xf numFmtId="0" fontId="24" fillId="0" borderId="0" xfId="0" applyFont="1" applyAlignment="1">
      <alignment horizontal="left" wrapText="1"/>
    </xf>
    <xf numFmtId="0" fontId="24" fillId="0" borderId="0" xfId="0" applyFont="1" applyAlignment="1">
      <alignment horizontal="left"/>
    </xf>
    <xf numFmtId="0" fontId="24" fillId="0" borderId="0" xfId="0" applyFont="1" applyAlignment="1"/>
    <xf numFmtId="0" fontId="24" fillId="0" borderId="0" xfId="0" applyFont="1" applyAlignment="1">
      <alignment horizontal="left"/>
    </xf>
    <xf numFmtId="0" fontId="25" fillId="0" borderId="29" xfId="0" applyFont="1" applyBorder="1" applyAlignment="1">
      <alignment wrapText="1"/>
    </xf>
    <xf numFmtId="0" fontId="24" fillId="0" borderId="0" xfId="0" applyFont="1" applyAlignment="1">
      <alignment wrapText="1"/>
    </xf>
    <xf numFmtId="0" fontId="8" fillId="0" borderId="29" xfId="0" applyFont="1" applyBorder="1" applyAlignment="1">
      <alignment wrapText="1"/>
    </xf>
    <xf numFmtId="0" fontId="24" fillId="0" borderId="0" xfId="0" applyFont="1" applyAlignment="1">
      <alignment horizontal="left" wrapText="1"/>
    </xf>
    <xf numFmtId="0" fontId="24" fillId="0" borderId="0" xfId="0" applyFont="1" applyAlignment="1">
      <alignment horizontal="left" vertical="top" wrapText="1"/>
    </xf>
    <xf numFmtId="0" fontId="24" fillId="0" borderId="0" xfId="0" applyFont="1" applyAlignment="1">
      <alignment wrapText="1"/>
    </xf>
    <xf numFmtId="0" fontId="26" fillId="0" borderId="31" xfId="0" applyFont="1" applyBorder="1" applyAlignment="1"/>
    <xf numFmtId="0" fontId="26" fillId="0" borderId="31" xfId="0" applyFont="1" applyBorder="1"/>
    <xf numFmtId="0" fontId="27" fillId="0" borderId="31" xfId="0" applyFont="1" applyBorder="1"/>
    <xf numFmtId="0" fontId="8" fillId="0" borderId="0" xfId="0" applyFont="1" applyAlignment="1"/>
    <xf numFmtId="0" fontId="28" fillId="2" borderId="32" xfId="0" applyFont="1" applyFill="1" applyBorder="1"/>
    <xf numFmtId="0" fontId="28" fillId="2" borderId="32" xfId="0" applyFont="1" applyFill="1" applyBorder="1" applyAlignment="1">
      <alignment wrapText="1"/>
    </xf>
    <xf numFmtId="0" fontId="1" fillId="2" borderId="32" xfId="0" applyFont="1" applyFill="1" applyBorder="1" applyAlignment="1">
      <alignment wrapText="1"/>
    </xf>
    <xf numFmtId="0" fontId="16" fillId="2" borderId="1" xfId="0" applyFont="1" applyFill="1" applyBorder="1" applyAlignment="1">
      <alignment wrapText="1"/>
    </xf>
    <xf numFmtId="0" fontId="29" fillId="2" borderId="1" xfId="0" applyFont="1" applyFill="1" applyBorder="1" applyAlignment="1">
      <alignment wrapText="1"/>
    </xf>
    <xf numFmtId="0" fontId="28" fillId="2" borderId="1" xfId="0" applyFont="1" applyFill="1" applyBorder="1"/>
    <xf numFmtId="0" fontId="16" fillId="2" borderId="33" xfId="0" applyFont="1" applyFill="1" applyBorder="1" applyAlignment="1">
      <alignment horizontal="left" wrapText="1"/>
    </xf>
    <xf numFmtId="0" fontId="16" fillId="2" borderId="34" xfId="0" applyFont="1" applyFill="1" applyBorder="1" applyAlignment="1">
      <alignment horizontal="left" wrapText="1"/>
    </xf>
    <xf numFmtId="0" fontId="14" fillId="2" borderId="34"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5" xfId="0" applyFont="1" applyFill="1" applyBorder="1" applyAlignment="1">
      <alignment vertical="center" wrapText="1"/>
    </xf>
    <xf numFmtId="0" fontId="29" fillId="2" borderId="1" xfId="0" applyFont="1" applyFill="1" applyBorder="1" applyAlignment="1">
      <alignment horizontal="center" wrapText="1"/>
    </xf>
    <xf numFmtId="0" fontId="28" fillId="2" borderId="35" xfId="0" applyFont="1" applyFill="1" applyBorder="1" applyAlignment="1">
      <alignment horizontal="center" vertical="center"/>
    </xf>
    <xf numFmtId="0" fontId="28" fillId="2" borderId="5" xfId="0" applyFont="1" applyFill="1" applyBorder="1" applyAlignment="1">
      <alignment horizontal="center" vertical="center"/>
    </xf>
    <xf numFmtId="0" fontId="28" fillId="2" borderId="5" xfId="0" applyFont="1" applyFill="1" applyBorder="1" applyAlignment="1">
      <alignment vertical="center" wrapText="1"/>
    </xf>
    <xf numFmtId="0" fontId="28" fillId="2" borderId="1" xfId="0" applyFont="1" applyFill="1" applyBorder="1" applyAlignment="1">
      <alignment horizontal="center" wrapText="1"/>
    </xf>
    <xf numFmtId="0" fontId="7" fillId="3" borderId="5" xfId="0" applyFont="1" applyFill="1" applyBorder="1" applyAlignment="1">
      <alignment horizontal="center" vertical="center" wrapText="1"/>
    </xf>
    <xf numFmtId="0" fontId="7" fillId="3" borderId="36"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 fillId="2" borderId="5" xfId="0" applyFont="1" applyFill="1" applyBorder="1" applyAlignment="1">
      <alignment vertical="top" wrapText="1"/>
    </xf>
    <xf numFmtId="0" fontId="30" fillId="0" borderId="5" xfId="0" applyFont="1" applyBorder="1" applyAlignment="1">
      <alignment horizontal="left" vertical="top" wrapText="1"/>
    </xf>
    <xf numFmtId="0" fontId="6" fillId="2" borderId="5" xfId="0" applyFont="1" applyFill="1" applyBorder="1" applyAlignment="1">
      <alignment horizontal="left" vertical="top" wrapText="1"/>
    </xf>
    <xf numFmtId="14" fontId="1" fillId="2" borderId="5" xfId="0" applyNumberFormat="1" applyFont="1" applyFill="1" applyBorder="1" applyAlignment="1">
      <alignment vertical="top" wrapText="1"/>
    </xf>
    <xf numFmtId="0" fontId="28" fillId="2" borderId="5" xfId="0" applyFont="1" applyFill="1" applyBorder="1" applyAlignment="1">
      <alignment vertical="top" wrapText="1"/>
    </xf>
    <xf numFmtId="0" fontId="29" fillId="2" borderId="1" xfId="0" applyFont="1" applyFill="1" applyBorder="1" applyAlignment="1">
      <alignment vertical="top" wrapText="1"/>
    </xf>
    <xf numFmtId="0" fontId="28" fillId="2" borderId="1" xfId="0" applyFont="1" applyFill="1" applyBorder="1" applyAlignment="1">
      <alignment vertical="top"/>
    </xf>
    <xf numFmtId="0" fontId="1" fillId="2" borderId="5" xfId="0" applyFont="1" applyFill="1" applyBorder="1" applyAlignment="1">
      <alignment horizontal="left" vertical="top" wrapText="1"/>
    </xf>
    <xf numFmtId="0" fontId="1" fillId="2" borderId="5" xfId="0" applyFont="1" applyFill="1" applyBorder="1" applyAlignment="1">
      <alignment wrapText="1"/>
    </xf>
    <xf numFmtId="0" fontId="1" fillId="2" borderId="5" xfId="0" applyFont="1" applyFill="1" applyBorder="1"/>
    <xf numFmtId="0" fontId="15" fillId="2" borderId="1" xfId="0" applyFont="1" applyFill="1" applyBorder="1" applyAlignment="1">
      <alignment horizontal="left" vertical="center"/>
    </xf>
    <xf numFmtId="0" fontId="1" fillId="2" borderId="5" xfId="0" applyFont="1" applyFill="1" applyBorder="1" applyAlignment="1">
      <alignment vertical="top"/>
    </xf>
    <xf numFmtId="0" fontId="29" fillId="2" borderId="1" xfId="0" applyFont="1" applyFill="1" applyBorder="1"/>
    <xf numFmtId="0" fontId="1" fillId="2" borderId="37" xfId="0" applyFont="1" applyFill="1" applyBorder="1" applyAlignment="1">
      <alignment vertical="top" wrapText="1"/>
    </xf>
    <xf numFmtId="0" fontId="31" fillId="2" borderId="5" xfId="0" applyFont="1" applyFill="1" applyBorder="1" applyAlignment="1">
      <alignment vertical="top" wrapText="1"/>
    </xf>
    <xf numFmtId="0" fontId="1" fillId="2" borderId="38" xfId="0" applyFont="1" applyFill="1" applyBorder="1" applyAlignment="1">
      <alignment vertical="top" wrapText="1"/>
    </xf>
    <xf numFmtId="0" fontId="32" fillId="0" borderId="0" xfId="0" applyFont="1" applyAlignment="1"/>
    <xf numFmtId="0" fontId="10" fillId="0" borderId="0" xfId="0" applyFont="1" applyAlignment="1"/>
    <xf numFmtId="0" fontId="33" fillId="0" borderId="0" xfId="0" applyFont="1" applyAlignment="1"/>
    <xf numFmtId="0" fontId="34" fillId="3" borderId="39" xfId="0" applyFont="1" applyFill="1" applyBorder="1" applyAlignment="1">
      <alignment horizontal="center" wrapText="1"/>
    </xf>
    <xf numFmtId="0" fontId="32" fillId="0" borderId="39" xfId="0" applyFont="1" applyBorder="1" applyAlignment="1">
      <alignment horizontal="center" wrapText="1"/>
    </xf>
    <xf numFmtId="0" fontId="10" fillId="0" borderId="39" xfId="0" applyFont="1" applyBorder="1" applyAlignment="1">
      <alignment vertical="top" wrapText="1"/>
    </xf>
    <xf numFmtId="0" fontId="10" fillId="0" borderId="39" xfId="0" applyFont="1" applyBorder="1" applyAlignment="1">
      <alignment horizontal="center" wrapText="1"/>
    </xf>
    <xf numFmtId="0" fontId="8" fillId="0" borderId="39" xfId="0" applyFont="1" applyBorder="1"/>
    <xf numFmtId="166" fontId="8" fillId="0" borderId="39" xfId="0" applyNumberFormat="1" applyFont="1" applyBorder="1"/>
    <xf numFmtId="0" fontId="8" fillId="0" borderId="39" xfId="0" applyFont="1" applyBorder="1" applyAlignment="1">
      <alignment vertical="top"/>
    </xf>
    <xf numFmtId="0" fontId="12" fillId="2" borderId="12" xfId="0" applyFont="1" applyFill="1" applyBorder="1" applyAlignment="1"/>
    <xf numFmtId="0" fontId="12" fillId="2" borderId="12" xfId="0" applyFont="1" applyFill="1" applyBorder="1" applyAlignment="1"/>
    <xf numFmtId="0" fontId="35" fillId="2" borderId="0" xfId="0" applyFont="1" applyFill="1" applyAlignment="1"/>
    <xf numFmtId="0" fontId="12" fillId="2" borderId="0" xfId="0" applyFont="1" applyFill="1" applyAlignment="1"/>
    <xf numFmtId="0" fontId="35" fillId="2" borderId="11" xfId="0" applyFont="1" applyFill="1" applyBorder="1" applyAlignment="1">
      <alignment horizontal="left"/>
    </xf>
    <xf numFmtId="0" fontId="35" fillId="2" borderId="11" xfId="0" applyFont="1" applyFill="1" applyBorder="1" applyAlignment="1">
      <alignment horizontal="center"/>
    </xf>
    <xf numFmtId="0" fontId="35" fillId="2" borderId="5" xfId="0" applyFont="1" applyFill="1" applyBorder="1" applyAlignment="1">
      <alignment horizontal="center"/>
    </xf>
    <xf numFmtId="0" fontId="35" fillId="2" borderId="5" xfId="0" applyFont="1" applyFill="1" applyBorder="1" applyAlignment="1"/>
    <xf numFmtId="0" fontId="12" fillId="2" borderId="11" xfId="0" applyFont="1" applyFill="1" applyBorder="1" applyAlignment="1">
      <alignment horizontal="center"/>
    </xf>
    <xf numFmtId="0" fontId="12" fillId="2" borderId="5" xfId="0" applyFont="1" applyFill="1" applyBorder="1" applyAlignment="1">
      <alignment horizontal="center"/>
    </xf>
    <xf numFmtId="0" fontId="12" fillId="2" borderId="5" xfId="0" applyFont="1" applyFill="1" applyBorder="1" applyAlignment="1">
      <alignment horizontal="right"/>
    </xf>
    <xf numFmtId="0" fontId="12" fillId="2" borderId="0" xfId="0" applyFont="1" applyFill="1" applyAlignment="1"/>
    <xf numFmtId="0" fontId="12" fillId="2" borderId="0" xfId="0" applyFont="1" applyFill="1" applyAlignment="1">
      <alignment horizontal="center"/>
    </xf>
    <xf numFmtId="0" fontId="34" fillId="3" borderId="5" xfId="0" applyFont="1" applyFill="1" applyBorder="1" applyAlignment="1">
      <alignment horizontal="center" wrapText="1"/>
    </xf>
    <xf numFmtId="0" fontId="34" fillId="3" borderId="9" xfId="0" applyFont="1" applyFill="1" applyBorder="1" applyAlignment="1">
      <alignment horizontal="center" wrapText="1"/>
    </xf>
    <xf numFmtId="0" fontId="12" fillId="2" borderId="5" xfId="0" applyFont="1" applyFill="1" applyBorder="1" applyAlignment="1">
      <alignment vertical="top" wrapText="1"/>
    </xf>
    <xf numFmtId="0" fontId="36" fillId="0" borderId="5" xfId="0" applyFont="1" applyBorder="1" applyAlignment="1">
      <alignment horizontal="left" vertical="top" wrapText="1"/>
    </xf>
    <xf numFmtId="0" fontId="13" fillId="2" borderId="5" xfId="0" applyFont="1" applyFill="1" applyBorder="1" applyAlignment="1">
      <alignment horizontal="left" vertical="top" wrapText="1"/>
    </xf>
    <xf numFmtId="0" fontId="12" fillId="2" borderId="5" xfId="0" applyFont="1" applyFill="1" applyBorder="1" applyAlignment="1">
      <alignment vertical="top" wrapText="1"/>
    </xf>
    <xf numFmtId="0" fontId="13" fillId="2" borderId="5" xfId="0" applyFont="1" applyFill="1" applyBorder="1" applyAlignment="1">
      <alignment horizontal="left" vertical="top" wrapText="1"/>
    </xf>
    <xf numFmtId="0" fontId="37" fillId="6" borderId="1" xfId="0" applyFont="1" applyFill="1" applyBorder="1"/>
    <xf numFmtId="0" fontId="30" fillId="0" borderId="0" xfId="0" applyFont="1"/>
    <xf numFmtId="0" fontId="37" fillId="0" borderId="0" xfId="0" applyFont="1" applyAlignment="1">
      <alignment horizontal="right"/>
    </xf>
    <xf numFmtId="0" fontId="38" fillId="7" borderId="1" xfId="0" applyFont="1" applyFill="1" applyBorder="1" applyAlignment="1">
      <alignment horizontal="center" vertical="center" wrapText="1"/>
    </xf>
    <xf numFmtId="0" fontId="30" fillId="0" borderId="31" xfId="0" applyFont="1" applyBorder="1" applyAlignment="1">
      <alignment horizontal="center" vertical="top"/>
    </xf>
    <xf numFmtId="0" fontId="30" fillId="0" borderId="31" xfId="0" applyFont="1" applyBorder="1" applyAlignment="1">
      <alignment vertical="top" wrapText="1"/>
    </xf>
    <xf numFmtId="0" fontId="12" fillId="2" borderId="4" xfId="0" applyFont="1" applyFill="1" applyBorder="1" applyAlignment="1">
      <alignment vertical="top" wrapText="1"/>
    </xf>
    <xf numFmtId="0" fontId="36" fillId="0" borderId="5" xfId="0" applyFont="1" applyBorder="1" applyAlignment="1">
      <alignment horizontal="left" vertical="top" wrapText="1"/>
    </xf>
    <xf numFmtId="0" fontId="12" fillId="2" borderId="13" xfId="0" applyFont="1" applyFill="1" applyBorder="1" applyAlignment="1">
      <alignment vertical="top" wrapText="1"/>
    </xf>
    <xf numFmtId="0" fontId="12" fillId="2" borderId="5" xfId="0" applyFont="1" applyFill="1" applyBorder="1" applyAlignment="1">
      <alignment vertical="top" wrapText="1"/>
    </xf>
    <xf numFmtId="0" fontId="39" fillId="2" borderId="5" xfId="0" applyFont="1" applyFill="1" applyBorder="1" applyAlignment="1">
      <alignment horizontal="left" vertical="top" wrapText="1"/>
    </xf>
    <xf numFmtId="0" fontId="29" fillId="2" borderId="40" xfId="0" applyFont="1" applyFill="1" applyBorder="1"/>
    <xf numFmtId="0" fontId="1" fillId="2" borderId="41" xfId="0" applyFont="1" applyFill="1" applyBorder="1"/>
    <xf numFmtId="0" fontId="16" fillId="2" borderId="1" xfId="0" applyFont="1" applyFill="1" applyBorder="1"/>
    <xf numFmtId="165" fontId="1" fillId="2" borderId="1" xfId="0" applyNumberFormat="1" applyFont="1" applyFill="1" applyBorder="1"/>
    <xf numFmtId="0" fontId="5" fillId="2" borderId="5" xfId="0" applyFont="1" applyFill="1" applyBorder="1" applyAlignment="1">
      <alignment horizontal="left" vertical="center"/>
    </xf>
    <xf numFmtId="0" fontId="5" fillId="2" borderId="37" xfId="0" applyFont="1" applyFill="1" applyBorder="1" applyAlignment="1">
      <alignment horizontal="left"/>
    </xf>
    <xf numFmtId="0" fontId="1" fillId="2" borderId="37" xfId="0" applyFont="1" applyFill="1" applyBorder="1" applyAlignment="1">
      <alignment vertical="top"/>
    </xf>
    <xf numFmtId="0" fontId="5" fillId="2" borderId="5" xfId="0" applyFont="1" applyFill="1" applyBorder="1" applyAlignment="1">
      <alignment vertical="center"/>
    </xf>
    <xf numFmtId="14" fontId="5" fillId="2" borderId="37" xfId="0" applyNumberFormat="1" applyFont="1" applyFill="1" applyBorder="1" applyAlignment="1">
      <alignment horizontal="left"/>
    </xf>
    <xf numFmtId="0" fontId="6" fillId="2" borderId="37" xfId="0" applyFont="1" applyFill="1" applyBorder="1" applyAlignment="1">
      <alignment vertical="top"/>
    </xf>
    <xf numFmtId="0" fontId="6" fillId="2" borderId="1" xfId="0" applyFont="1" applyFill="1" applyBorder="1"/>
    <xf numFmtId="0" fontId="1" fillId="2" borderId="44" xfId="0" applyFont="1" applyFill="1" applyBorder="1"/>
    <xf numFmtId="0" fontId="1" fillId="2" borderId="23" xfId="0" applyFont="1" applyFill="1" applyBorder="1"/>
    <xf numFmtId="0" fontId="1" fillId="2" borderId="23" xfId="0" applyFont="1" applyFill="1" applyBorder="1" applyAlignment="1"/>
    <xf numFmtId="0" fontId="1" fillId="2" borderId="23"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41" fillId="2" borderId="1" xfId="0" applyNumberFormat="1" applyFont="1" applyFill="1" applyBorder="1" applyAlignment="1">
      <alignment horizontal="right"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17"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6" fillId="2" borderId="2" xfId="0" applyFont="1" applyFill="1" applyBorder="1" applyAlignment="1">
      <alignment horizontal="left" vertical="center" wrapText="1"/>
    </xf>
    <xf numFmtId="0" fontId="14" fillId="2" borderId="2" xfId="0" applyFont="1" applyFill="1" applyBorder="1" applyAlignment="1">
      <alignment horizontal="center" vertical="center" wrapText="1"/>
    </xf>
    <xf numFmtId="0" fontId="28" fillId="2" borderId="2" xfId="0" applyFont="1" applyFill="1" applyBorder="1" applyAlignment="1">
      <alignment horizontal="center" vertical="center" wrapText="1"/>
    </xf>
    <xf numFmtId="0" fontId="13" fillId="2" borderId="2" xfId="0" applyFont="1" applyFill="1" applyBorder="1" applyAlignment="1">
      <alignment horizontal="left"/>
    </xf>
    <xf numFmtId="0" fontId="35" fillId="2" borderId="2" xfId="0" applyFont="1" applyFill="1" applyBorder="1" applyAlignment="1">
      <alignment horizontal="center"/>
    </xf>
    <xf numFmtId="0" fontId="12" fillId="2" borderId="2" xfId="0" applyFont="1" applyFill="1" applyBorder="1" applyAlignment="1">
      <alignment horizontal="center"/>
    </xf>
    <xf numFmtId="0" fontId="3" fillId="2" borderId="42" xfId="0" applyFont="1" applyFill="1" applyBorder="1" applyAlignment="1">
      <alignment horizontal="center"/>
    </xf>
    <xf numFmtId="0" fontId="4" fillId="0" borderId="43" xfId="0" applyFont="1" applyBorder="1"/>
    <xf numFmtId="0" fontId="4" fillId="0" borderId="40" xfId="0" applyFont="1" applyBorder="1"/>
    <xf numFmtId="0" fontId="5" fillId="2" borderId="2" xfId="0" applyFont="1" applyFill="1" applyBorder="1" applyAlignment="1">
      <alignment horizontal="left"/>
    </xf>
    <xf numFmtId="0" fontId="40" fillId="3" borderId="45" xfId="0" applyFont="1" applyFill="1" applyBorder="1" applyAlignment="1">
      <alignment horizontal="center"/>
    </xf>
    <xf numFmtId="0" fontId="7" fillId="3" borderId="46" xfId="0" applyFont="1" applyFill="1" applyBorder="1"/>
    <xf numFmtId="0" fontId="40" fillId="3" borderId="46" xfId="0" applyFont="1" applyFill="1" applyBorder="1" applyAlignment="1">
      <alignment horizontal="center"/>
    </xf>
    <xf numFmtId="0" fontId="40" fillId="3" borderId="47" xfId="0" applyFont="1" applyFill="1" applyBorder="1" applyAlignment="1">
      <alignment horizontal="center"/>
    </xf>
    <xf numFmtId="0" fontId="7" fillId="3" borderId="48"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49" xfId="0" applyFont="1" applyFill="1" applyBorder="1" applyAlignment="1">
      <alignment horizontal="center"/>
    </xf>
    <xf numFmtId="0" fontId="7" fillId="3" borderId="50" xfId="0" applyFont="1" applyFill="1" applyBorder="1" applyAlignment="1">
      <alignment horizontal="center" wrapText="1"/>
    </xf>
    <xf numFmtId="0" fontId="1" fillId="2" borderId="43" xfId="0" applyFont="1" applyFill="1" applyBorder="1"/>
    <xf numFmtId="0" fontId="12" fillId="2" borderId="23" xfId="0" applyFont="1" applyFill="1" applyBorder="1" applyAlignment="1"/>
    <xf numFmtId="0" fontId="12" fillId="2" borderId="23" xfId="0" applyFont="1" applyFill="1" applyBorder="1" applyAlignment="1">
      <alignment horizontal="center"/>
    </xf>
    <xf numFmtId="0" fontId="28" fillId="2" borderId="23" xfId="0" applyFont="1" applyFill="1" applyBorder="1" applyAlignment="1">
      <alignment horizontal="center"/>
    </xf>
    <xf numFmtId="0" fontId="40" fillId="2" borderId="2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4140625" defaultRowHeight="15" customHeight="1"/>
  <cols>
    <col min="1" max="1" width="2.5546875" customWidth="1"/>
    <col min="2" max="2" width="22.44140625" customWidth="1"/>
    <col min="3" max="3" width="10.5546875" customWidth="1"/>
    <col min="4" max="4" width="21" customWidth="1"/>
    <col min="5" max="5" width="9.109375" customWidth="1"/>
    <col min="6" max="6" width="43.6640625" customWidth="1"/>
    <col min="7" max="7" width="35.44140625" customWidth="1"/>
    <col min="8" max="26" width="9.109375" customWidth="1"/>
  </cols>
  <sheetData>
    <row r="1" spans="1:26" ht="7.5" customHeight="1">
      <c r="A1" s="1"/>
      <c r="B1" s="2"/>
      <c r="C1" s="1"/>
      <c r="D1" s="1"/>
      <c r="E1" s="1"/>
      <c r="F1" s="1"/>
      <c r="G1" s="1"/>
      <c r="H1" s="1"/>
      <c r="I1" s="1"/>
      <c r="J1" s="1"/>
      <c r="K1" s="1"/>
      <c r="L1" s="1"/>
      <c r="M1" s="1"/>
      <c r="N1" s="1"/>
      <c r="O1" s="1"/>
      <c r="P1" s="1"/>
      <c r="Q1" s="1"/>
      <c r="R1" s="1"/>
      <c r="S1" s="1"/>
      <c r="T1" s="1"/>
      <c r="U1" s="1"/>
      <c r="V1" s="1"/>
      <c r="W1" s="1"/>
      <c r="X1" s="1"/>
      <c r="Y1" s="1"/>
      <c r="Z1" s="1"/>
    </row>
    <row r="2" spans="1:26" ht="48" customHeight="1">
      <c r="A2" s="3"/>
      <c r="B2" s="197" t="s">
        <v>0</v>
      </c>
      <c r="C2" s="198"/>
      <c r="D2" s="198"/>
      <c r="E2" s="198"/>
      <c r="F2" s="198"/>
      <c r="G2" s="199"/>
      <c r="H2" s="4"/>
      <c r="I2" s="4"/>
      <c r="J2" s="4"/>
      <c r="K2" s="4"/>
      <c r="L2" s="4"/>
      <c r="M2" s="4"/>
      <c r="N2" s="4"/>
      <c r="O2" s="4"/>
      <c r="P2" s="4"/>
      <c r="Q2" s="4"/>
      <c r="R2" s="4"/>
      <c r="S2" s="4"/>
      <c r="T2" s="4"/>
      <c r="U2" s="4"/>
      <c r="V2" s="4"/>
      <c r="W2" s="4"/>
      <c r="X2" s="4"/>
      <c r="Y2" s="4"/>
      <c r="Z2" s="4"/>
    </row>
    <row r="3" spans="1:26" ht="7.5" customHeight="1">
      <c r="A3" s="1"/>
      <c r="B3" s="5"/>
      <c r="C3" s="6"/>
      <c r="D3" s="1"/>
      <c r="E3" s="1"/>
      <c r="F3" s="7"/>
      <c r="G3" s="1"/>
      <c r="H3" s="1"/>
      <c r="I3" s="1"/>
      <c r="J3" s="1"/>
      <c r="K3" s="1"/>
      <c r="L3" s="1"/>
      <c r="M3" s="1"/>
      <c r="N3" s="1"/>
      <c r="O3" s="1"/>
      <c r="P3" s="1"/>
      <c r="Q3" s="1"/>
      <c r="R3" s="1"/>
      <c r="S3" s="1"/>
      <c r="T3" s="1"/>
      <c r="U3" s="1"/>
      <c r="V3" s="1"/>
      <c r="W3" s="1"/>
      <c r="X3" s="1"/>
      <c r="Y3" s="1"/>
      <c r="Z3" s="1"/>
    </row>
    <row r="4" spans="1:26" ht="18" customHeight="1">
      <c r="A4" s="1"/>
      <c r="B4" s="8" t="s">
        <v>1</v>
      </c>
      <c r="C4" s="200" t="s">
        <v>2</v>
      </c>
      <c r="D4" s="198"/>
      <c r="E4" s="199"/>
      <c r="F4" s="8" t="s">
        <v>3</v>
      </c>
      <c r="G4" s="9" t="s">
        <v>4</v>
      </c>
      <c r="H4" s="1"/>
      <c r="I4" s="1"/>
      <c r="J4" s="1"/>
      <c r="K4" s="1"/>
      <c r="L4" s="1"/>
      <c r="M4" s="1"/>
      <c r="N4" s="1"/>
      <c r="O4" s="1"/>
      <c r="P4" s="1"/>
      <c r="Q4" s="1"/>
      <c r="R4" s="1"/>
      <c r="S4" s="1"/>
      <c r="T4" s="1"/>
      <c r="U4" s="1"/>
      <c r="V4" s="1"/>
      <c r="W4" s="1"/>
      <c r="X4" s="1"/>
      <c r="Y4" s="1"/>
      <c r="Z4" s="1"/>
    </row>
    <row r="5" spans="1:26" ht="13.5" customHeight="1">
      <c r="A5" s="1"/>
      <c r="B5" s="8" t="s">
        <v>5</v>
      </c>
      <c r="C5" s="200" t="s">
        <v>2</v>
      </c>
      <c r="D5" s="198"/>
      <c r="E5" s="199"/>
      <c r="F5" s="8" t="s">
        <v>6</v>
      </c>
      <c r="G5" s="9"/>
      <c r="H5" s="1"/>
      <c r="I5" s="1"/>
      <c r="J5" s="1"/>
      <c r="K5" s="1"/>
      <c r="L5" s="1"/>
      <c r="M5" s="1"/>
      <c r="N5" s="1"/>
      <c r="O5" s="1"/>
      <c r="P5" s="1"/>
      <c r="Q5" s="1"/>
      <c r="R5" s="1"/>
      <c r="S5" s="1"/>
      <c r="T5" s="1"/>
      <c r="U5" s="1"/>
      <c r="V5" s="1"/>
      <c r="W5" s="1"/>
      <c r="X5" s="1"/>
      <c r="Y5" s="1"/>
      <c r="Z5" s="1"/>
    </row>
    <row r="6" spans="1:26" ht="14.4">
      <c r="A6" s="1"/>
      <c r="B6" s="201" t="s">
        <v>7</v>
      </c>
      <c r="C6" s="203" t="s">
        <v>8</v>
      </c>
      <c r="D6" s="204"/>
      <c r="E6" s="205"/>
      <c r="F6" s="8" t="s">
        <v>9</v>
      </c>
      <c r="G6" s="10"/>
      <c r="H6" s="1"/>
      <c r="I6" s="1"/>
      <c r="J6" s="1"/>
      <c r="K6" s="1"/>
      <c r="L6" s="1"/>
      <c r="M6" s="1"/>
      <c r="N6" s="1"/>
      <c r="O6" s="1"/>
      <c r="P6" s="1"/>
      <c r="Q6" s="1"/>
      <c r="R6" s="1"/>
      <c r="S6" s="1"/>
      <c r="T6" s="1"/>
      <c r="U6" s="1"/>
      <c r="V6" s="1"/>
      <c r="W6" s="1"/>
      <c r="X6" s="1"/>
      <c r="Y6" s="1"/>
      <c r="Z6" s="1"/>
    </row>
    <row r="7" spans="1:26" ht="18" customHeight="1">
      <c r="A7" s="1"/>
      <c r="B7" s="202"/>
      <c r="C7" s="206"/>
      <c r="D7" s="207"/>
      <c r="E7" s="208"/>
      <c r="F7" s="8" t="s">
        <v>10</v>
      </c>
      <c r="G7" s="11">
        <v>0.1</v>
      </c>
      <c r="H7" s="1"/>
      <c r="I7" s="1"/>
      <c r="J7" s="1"/>
      <c r="K7" s="1"/>
      <c r="L7" s="1"/>
      <c r="M7" s="1"/>
      <c r="N7" s="1"/>
      <c r="O7" s="1"/>
      <c r="P7" s="1"/>
      <c r="Q7" s="1"/>
      <c r="R7" s="1"/>
      <c r="S7" s="1"/>
      <c r="T7" s="1"/>
      <c r="U7" s="1"/>
      <c r="V7" s="1"/>
      <c r="W7" s="1"/>
      <c r="X7" s="1"/>
      <c r="Y7" s="1"/>
      <c r="Z7" s="1"/>
    </row>
    <row r="8" spans="1:26" ht="7.5" customHeight="1">
      <c r="A8" s="1"/>
      <c r="B8" s="12"/>
      <c r="C8" s="6"/>
      <c r="D8" s="1"/>
      <c r="E8" s="1"/>
      <c r="F8" s="5"/>
      <c r="G8" s="6"/>
      <c r="H8" s="1"/>
      <c r="I8" s="1"/>
      <c r="J8" s="1"/>
      <c r="K8" s="1"/>
      <c r="L8" s="1"/>
      <c r="M8" s="1"/>
      <c r="N8" s="1"/>
      <c r="O8" s="1"/>
      <c r="P8" s="1"/>
      <c r="Q8" s="1"/>
      <c r="R8" s="1"/>
      <c r="S8" s="1"/>
      <c r="T8" s="1"/>
      <c r="U8" s="1"/>
      <c r="V8" s="1"/>
      <c r="W8" s="1"/>
      <c r="X8" s="1"/>
      <c r="Y8" s="1"/>
      <c r="Z8" s="1"/>
    </row>
    <row r="9" spans="1:26" ht="7.5" customHeight="1">
      <c r="A9" s="1"/>
      <c r="B9" s="2"/>
      <c r="C9" s="1"/>
      <c r="D9" s="1"/>
      <c r="E9" s="1"/>
      <c r="F9" s="1"/>
      <c r="G9" s="1"/>
      <c r="H9" s="1"/>
      <c r="I9" s="1"/>
      <c r="J9" s="1"/>
      <c r="K9" s="1"/>
      <c r="L9" s="1"/>
      <c r="M9" s="1"/>
      <c r="N9" s="1"/>
      <c r="O9" s="1"/>
      <c r="P9" s="1"/>
      <c r="Q9" s="1"/>
      <c r="R9" s="1"/>
      <c r="S9" s="1"/>
      <c r="T9" s="1"/>
      <c r="U9" s="1"/>
      <c r="V9" s="1"/>
      <c r="W9" s="1"/>
      <c r="X9" s="1"/>
      <c r="Y9" s="1"/>
      <c r="Z9" s="1"/>
    </row>
    <row r="10" spans="1:26" ht="17.25" customHeight="1">
      <c r="A10" s="1"/>
      <c r="B10" s="13" t="s">
        <v>11</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12</v>
      </c>
      <c r="C11" s="16" t="s">
        <v>10</v>
      </c>
      <c r="D11" s="16" t="s">
        <v>13</v>
      </c>
      <c r="E11" s="16" t="s">
        <v>14</v>
      </c>
      <c r="F11" s="16" t="s">
        <v>15</v>
      </c>
      <c r="G11" s="17" t="s">
        <v>16</v>
      </c>
      <c r="H11" s="14"/>
      <c r="I11" s="14"/>
      <c r="J11" s="14"/>
      <c r="K11" s="14"/>
      <c r="L11" s="14"/>
      <c r="M11" s="14"/>
      <c r="N11" s="14"/>
      <c r="O11" s="14"/>
      <c r="P11" s="14"/>
      <c r="Q11" s="14"/>
      <c r="R11" s="14"/>
      <c r="S11" s="14"/>
      <c r="T11" s="14"/>
      <c r="U11" s="14"/>
      <c r="V11" s="14"/>
      <c r="W11" s="14"/>
      <c r="X11" s="14"/>
      <c r="Y11" s="14"/>
      <c r="Z11" s="14"/>
    </row>
    <row r="12" spans="1:26" ht="15.75" customHeight="1">
      <c r="A12" s="18"/>
      <c r="B12" s="19" t="s">
        <v>17</v>
      </c>
      <c r="C12" s="20" t="s">
        <v>18</v>
      </c>
      <c r="D12" s="21" t="s">
        <v>19</v>
      </c>
      <c r="E12" s="21" t="s">
        <v>20</v>
      </c>
      <c r="F12" s="21" t="s">
        <v>21</v>
      </c>
      <c r="G12" s="22" t="s">
        <v>22</v>
      </c>
      <c r="H12" s="18"/>
      <c r="I12" s="18"/>
      <c r="J12" s="18"/>
      <c r="K12" s="18"/>
      <c r="L12" s="18"/>
      <c r="M12" s="18"/>
      <c r="N12" s="18"/>
      <c r="O12" s="18"/>
      <c r="P12" s="18"/>
      <c r="Q12" s="18"/>
      <c r="R12" s="18"/>
      <c r="S12" s="18"/>
      <c r="T12" s="18"/>
      <c r="U12" s="18"/>
      <c r="V12" s="18"/>
      <c r="W12" s="18"/>
      <c r="X12" s="18"/>
      <c r="Y12" s="18"/>
      <c r="Z12" s="18"/>
    </row>
    <row r="13" spans="1:26" ht="13.5" customHeight="1">
      <c r="A13" s="23"/>
      <c r="B13" s="24" t="s">
        <v>17</v>
      </c>
      <c r="C13" s="25" t="s">
        <v>18</v>
      </c>
      <c r="D13" s="26" t="s">
        <v>23</v>
      </c>
      <c r="E13" s="26" t="s">
        <v>20</v>
      </c>
      <c r="F13" s="26" t="s">
        <v>24</v>
      </c>
      <c r="G13" s="27" t="s">
        <v>22</v>
      </c>
      <c r="H13" s="23"/>
      <c r="I13" s="23"/>
      <c r="J13" s="23"/>
      <c r="K13" s="23"/>
      <c r="L13" s="23"/>
      <c r="M13" s="23"/>
      <c r="N13" s="23"/>
      <c r="O13" s="23"/>
      <c r="P13" s="23"/>
      <c r="Q13" s="23"/>
      <c r="R13" s="23"/>
      <c r="S13" s="23"/>
      <c r="T13" s="23"/>
      <c r="U13" s="23"/>
      <c r="V13" s="23"/>
      <c r="W13" s="23"/>
      <c r="X13" s="23"/>
      <c r="Y13" s="23"/>
      <c r="Z13" s="23"/>
    </row>
    <row r="14" spans="1:26" ht="14.4">
      <c r="A14" s="18"/>
      <c r="B14" s="24" t="s">
        <v>17</v>
      </c>
      <c r="C14" s="28" t="s">
        <v>18</v>
      </c>
      <c r="D14" s="26" t="s">
        <v>25</v>
      </c>
      <c r="E14" s="26" t="s">
        <v>20</v>
      </c>
      <c r="F14" s="26" t="s">
        <v>26</v>
      </c>
      <c r="G14" s="27" t="s">
        <v>22</v>
      </c>
      <c r="H14" s="18"/>
      <c r="I14" s="18"/>
      <c r="J14" s="18"/>
      <c r="K14" s="18"/>
      <c r="L14" s="18"/>
      <c r="M14" s="18"/>
      <c r="N14" s="18"/>
      <c r="O14" s="18"/>
      <c r="P14" s="18"/>
      <c r="Q14" s="18"/>
      <c r="R14" s="18"/>
      <c r="S14" s="18"/>
      <c r="T14" s="18"/>
      <c r="U14" s="18"/>
      <c r="V14" s="18"/>
      <c r="W14" s="18"/>
      <c r="X14" s="18"/>
      <c r="Y14" s="18"/>
      <c r="Z14" s="18"/>
    </row>
    <row r="15" spans="1:26" ht="18.75" customHeight="1">
      <c r="A15" s="18"/>
      <c r="B15" s="19" t="s">
        <v>17</v>
      </c>
      <c r="C15" s="29" t="s">
        <v>18</v>
      </c>
      <c r="D15" s="30" t="s">
        <v>27</v>
      </c>
      <c r="E15" s="30" t="s">
        <v>20</v>
      </c>
      <c r="F15" s="30" t="s">
        <v>28</v>
      </c>
      <c r="G15" s="31" t="s">
        <v>22</v>
      </c>
      <c r="H15" s="18"/>
      <c r="I15" s="18"/>
      <c r="J15" s="18"/>
      <c r="K15" s="18"/>
      <c r="L15" s="18"/>
      <c r="M15" s="18"/>
      <c r="N15" s="18"/>
      <c r="O15" s="18"/>
      <c r="P15" s="18"/>
      <c r="Q15" s="18"/>
      <c r="R15" s="18"/>
      <c r="S15" s="18"/>
      <c r="T15" s="18"/>
      <c r="U15" s="18"/>
      <c r="V15" s="18"/>
      <c r="W15" s="18"/>
      <c r="X15" s="18"/>
      <c r="Y15" s="18"/>
      <c r="Z15" s="18"/>
    </row>
    <row r="16" spans="1:26" ht="18.75" customHeight="1">
      <c r="A16" s="18"/>
      <c r="B16" s="32" t="s">
        <v>17</v>
      </c>
      <c r="C16" s="29" t="s">
        <v>18</v>
      </c>
      <c r="D16" s="30" t="s">
        <v>29</v>
      </c>
      <c r="E16" s="30" t="s">
        <v>20</v>
      </c>
      <c r="F16" s="30" t="s">
        <v>30</v>
      </c>
      <c r="G16" s="31" t="s">
        <v>22</v>
      </c>
      <c r="H16" s="18"/>
      <c r="I16" s="18"/>
      <c r="J16" s="18"/>
      <c r="K16" s="18"/>
      <c r="L16" s="18"/>
      <c r="M16" s="18"/>
      <c r="N16" s="18"/>
      <c r="O16" s="18"/>
      <c r="P16" s="18"/>
      <c r="Q16" s="18"/>
      <c r="R16" s="18"/>
      <c r="S16" s="18"/>
      <c r="T16" s="18"/>
      <c r="U16" s="18"/>
      <c r="V16" s="18"/>
      <c r="W16" s="18"/>
      <c r="X16" s="18"/>
      <c r="Y16" s="18"/>
      <c r="Z16" s="18"/>
    </row>
    <row r="17" spans="1:26" ht="13.5" customHeight="1">
      <c r="A17" s="18"/>
      <c r="B17" s="33"/>
      <c r="C17" s="34"/>
      <c r="D17" s="34"/>
      <c r="E17" s="34"/>
      <c r="F17" s="34"/>
      <c r="G17" s="34"/>
      <c r="H17" s="18"/>
      <c r="I17" s="18"/>
      <c r="J17" s="18"/>
      <c r="K17" s="18"/>
      <c r="L17" s="18"/>
      <c r="M17" s="18"/>
      <c r="N17" s="18"/>
      <c r="O17" s="18"/>
      <c r="P17" s="18"/>
      <c r="Q17" s="18"/>
      <c r="R17" s="18"/>
      <c r="S17" s="18"/>
      <c r="T17" s="18"/>
      <c r="U17" s="18"/>
      <c r="V17" s="18"/>
      <c r="W17" s="18"/>
      <c r="X17" s="18"/>
      <c r="Y17" s="18"/>
      <c r="Z17" s="18"/>
    </row>
    <row r="18" spans="1:26" ht="12" customHeight="1">
      <c r="A18" s="18"/>
      <c r="B18" s="35"/>
      <c r="C18" s="20"/>
      <c r="D18" s="21"/>
      <c r="E18" s="21"/>
      <c r="F18" s="21"/>
      <c r="G18" s="21"/>
      <c r="H18" s="18"/>
      <c r="I18" s="18"/>
      <c r="J18" s="18"/>
      <c r="K18" s="18"/>
      <c r="L18" s="18"/>
      <c r="M18" s="18"/>
      <c r="N18" s="18"/>
      <c r="O18" s="18"/>
      <c r="P18" s="18"/>
      <c r="Q18" s="18"/>
      <c r="R18" s="18"/>
      <c r="S18" s="18"/>
      <c r="T18" s="18"/>
      <c r="U18" s="18"/>
      <c r="V18" s="18"/>
      <c r="W18" s="18"/>
      <c r="X18" s="18"/>
      <c r="Y18" s="18"/>
      <c r="Z18" s="18"/>
    </row>
    <row r="19" spans="1:26" ht="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row r="222" spans="1:26" ht="14.25" customHeight="1"/>
    <row r="223" spans="1:26" ht="14.25" customHeight="1"/>
    <row r="224" spans="1:26"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2:G2"/>
    <mergeCell ref="C4:E4"/>
    <mergeCell ref="C5:E5"/>
    <mergeCell ref="B6:B7"/>
    <mergeCell ref="C6:E7"/>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4140625" defaultRowHeight="15" customHeight="1"/>
  <cols>
    <col min="1" max="1" width="1.5546875" customWidth="1"/>
    <col min="2" max="2" width="13.44140625" customWidth="1"/>
    <col min="3" max="3" width="45" customWidth="1"/>
    <col min="4" max="4" width="19.5546875" customWidth="1"/>
    <col min="5" max="5" width="120.6640625" customWidth="1"/>
    <col min="6" max="6" width="50.88671875" customWidth="1"/>
    <col min="7" max="26" width="9.109375" customWidth="1"/>
  </cols>
  <sheetData>
    <row r="1" spans="1:26" ht="24.6">
      <c r="A1" s="7"/>
      <c r="B1" s="36"/>
      <c r="C1" s="37"/>
      <c r="D1" s="38" t="s">
        <v>31</v>
      </c>
      <c r="E1" s="39"/>
      <c r="F1" s="37"/>
      <c r="G1" s="7"/>
      <c r="H1" s="7"/>
      <c r="I1" s="7"/>
      <c r="J1" s="7"/>
      <c r="K1" s="7"/>
      <c r="L1" s="7"/>
      <c r="M1" s="7"/>
      <c r="N1" s="7"/>
      <c r="O1" s="7"/>
      <c r="P1" s="7"/>
      <c r="Q1" s="7"/>
      <c r="R1" s="7"/>
      <c r="S1" s="7"/>
      <c r="T1" s="7"/>
      <c r="U1" s="7"/>
      <c r="V1" s="7"/>
      <c r="W1" s="7"/>
      <c r="X1" s="7"/>
      <c r="Y1" s="7"/>
      <c r="Z1" s="7"/>
    </row>
    <row r="2" spans="1:26" ht="8.25" customHeight="1">
      <c r="A2" s="7"/>
      <c r="B2" s="36"/>
      <c r="C2" s="37"/>
      <c r="D2" s="40"/>
      <c r="E2" s="40"/>
      <c r="F2" s="37"/>
      <c r="G2" s="7"/>
      <c r="H2" s="7"/>
      <c r="I2" s="7"/>
      <c r="J2" s="7"/>
      <c r="K2" s="7"/>
      <c r="L2" s="7"/>
      <c r="M2" s="7"/>
      <c r="N2" s="7"/>
      <c r="O2" s="7"/>
      <c r="P2" s="7"/>
      <c r="Q2" s="7"/>
      <c r="R2" s="7"/>
      <c r="S2" s="7"/>
      <c r="T2" s="7"/>
      <c r="U2" s="7"/>
      <c r="V2" s="7"/>
      <c r="W2" s="7"/>
      <c r="X2" s="7"/>
      <c r="Y2" s="7"/>
      <c r="Z2" s="7"/>
    </row>
    <row r="3" spans="1:26" ht="16.5" customHeight="1">
      <c r="A3" s="7"/>
      <c r="B3" s="209" t="s">
        <v>1</v>
      </c>
      <c r="C3" s="210"/>
      <c r="D3" s="211" t="str">
        <f>Cover!C4</f>
        <v>DOLIBARR</v>
      </c>
      <c r="E3" s="198"/>
      <c r="F3" s="199"/>
      <c r="G3" s="7"/>
      <c r="H3" s="7"/>
      <c r="I3" s="7"/>
      <c r="J3" s="7"/>
      <c r="K3" s="7"/>
      <c r="L3" s="7"/>
      <c r="M3" s="7"/>
      <c r="N3" s="7"/>
      <c r="O3" s="7"/>
      <c r="P3" s="7"/>
      <c r="Q3" s="7"/>
      <c r="R3" s="7"/>
      <c r="S3" s="7"/>
      <c r="T3" s="7"/>
      <c r="U3" s="7"/>
      <c r="V3" s="7"/>
      <c r="W3" s="7"/>
      <c r="X3" s="7"/>
      <c r="Y3" s="7"/>
      <c r="Z3" s="7"/>
    </row>
    <row r="4" spans="1:26" ht="17.25" customHeight="1">
      <c r="A4" s="7"/>
      <c r="B4" s="209" t="s">
        <v>5</v>
      </c>
      <c r="C4" s="210"/>
      <c r="D4" s="211" t="str">
        <f>Cover!C5</f>
        <v>DOLIBARR</v>
      </c>
      <c r="E4" s="198"/>
      <c r="F4" s="199"/>
      <c r="G4" s="7"/>
      <c r="H4" s="7"/>
      <c r="I4" s="7"/>
      <c r="J4" s="7"/>
      <c r="K4" s="7"/>
      <c r="L4" s="7"/>
      <c r="M4" s="7"/>
      <c r="N4" s="7"/>
      <c r="O4" s="7"/>
      <c r="P4" s="7"/>
      <c r="Q4" s="7"/>
      <c r="R4" s="7"/>
      <c r="S4" s="7"/>
      <c r="T4" s="7"/>
      <c r="U4" s="7"/>
      <c r="V4" s="7"/>
      <c r="W4" s="7"/>
      <c r="X4" s="7"/>
      <c r="Y4" s="7"/>
      <c r="Z4" s="7"/>
    </row>
    <row r="5" spans="1:26" ht="54" customHeight="1">
      <c r="A5" s="41"/>
      <c r="B5" s="212" t="s">
        <v>32</v>
      </c>
      <c r="C5" s="199"/>
      <c r="D5" s="213" t="s">
        <v>33</v>
      </c>
      <c r="E5" s="198"/>
      <c r="F5" s="199"/>
      <c r="G5" s="41"/>
      <c r="H5" s="41"/>
      <c r="I5" s="41"/>
      <c r="J5" s="41"/>
      <c r="K5" s="41"/>
      <c r="L5" s="41"/>
      <c r="M5" s="41"/>
      <c r="N5" s="41"/>
      <c r="O5" s="41"/>
      <c r="P5" s="41"/>
      <c r="Q5" s="41"/>
      <c r="R5" s="41"/>
      <c r="S5" s="41"/>
      <c r="T5" s="41"/>
      <c r="U5" s="41"/>
      <c r="V5" s="41"/>
      <c r="W5" s="41"/>
      <c r="X5" s="41"/>
      <c r="Y5" s="41"/>
      <c r="Z5" s="41"/>
    </row>
    <row r="6" spans="1:26" ht="7.5" customHeight="1">
      <c r="A6" s="7"/>
      <c r="B6" s="42"/>
      <c r="C6" s="7"/>
      <c r="D6" s="7"/>
      <c r="E6" s="7"/>
      <c r="F6" s="7"/>
      <c r="G6" s="7"/>
      <c r="H6" s="7"/>
      <c r="I6" s="7"/>
      <c r="J6" s="7"/>
      <c r="K6" s="7"/>
      <c r="L6" s="7"/>
      <c r="M6" s="7"/>
      <c r="N6" s="7"/>
      <c r="O6" s="7"/>
      <c r="P6" s="7"/>
      <c r="Q6" s="7"/>
      <c r="R6" s="7"/>
      <c r="S6" s="7"/>
      <c r="T6" s="7"/>
      <c r="U6" s="7"/>
      <c r="V6" s="7"/>
      <c r="W6" s="7"/>
      <c r="X6" s="7"/>
      <c r="Y6" s="7"/>
      <c r="Z6" s="7"/>
    </row>
    <row r="7" spans="1:26" ht="7.5" customHeight="1">
      <c r="A7" s="43"/>
      <c r="B7" s="44"/>
      <c r="C7" s="45"/>
      <c r="D7" s="45"/>
      <c r="E7" s="45"/>
      <c r="F7" s="45"/>
      <c r="G7" s="43"/>
      <c r="H7" s="43"/>
      <c r="I7" s="43"/>
      <c r="J7" s="43"/>
      <c r="K7" s="43"/>
      <c r="L7" s="43"/>
      <c r="M7" s="43"/>
      <c r="N7" s="43"/>
      <c r="O7" s="43"/>
      <c r="P7" s="43"/>
      <c r="Q7" s="43"/>
      <c r="R7" s="43"/>
      <c r="S7" s="43"/>
      <c r="T7" s="43"/>
      <c r="U7" s="43"/>
      <c r="V7" s="43"/>
      <c r="W7" s="43"/>
      <c r="X7" s="43"/>
      <c r="Y7" s="43"/>
      <c r="Z7" s="43"/>
    </row>
    <row r="8" spans="1:26" ht="12.75" customHeight="1">
      <c r="A8" s="46"/>
      <c r="B8" s="47" t="s">
        <v>34</v>
      </c>
      <c r="C8" s="48" t="s">
        <v>35</v>
      </c>
      <c r="D8" s="48" t="s">
        <v>36</v>
      </c>
      <c r="E8" s="49" t="s">
        <v>37</v>
      </c>
      <c r="F8" s="50" t="s">
        <v>38</v>
      </c>
      <c r="G8" s="46"/>
      <c r="H8" s="46"/>
      <c r="I8" s="46"/>
      <c r="J8" s="46"/>
      <c r="K8" s="46"/>
      <c r="L8" s="46"/>
      <c r="M8" s="46"/>
      <c r="N8" s="46"/>
      <c r="O8" s="46"/>
      <c r="P8" s="46"/>
      <c r="Q8" s="46"/>
      <c r="R8" s="46"/>
      <c r="S8" s="46"/>
      <c r="T8" s="46"/>
      <c r="U8" s="46"/>
      <c r="V8" s="46"/>
      <c r="W8" s="46"/>
      <c r="X8" s="46"/>
      <c r="Y8" s="46"/>
      <c r="Z8" s="46"/>
    </row>
    <row r="9" spans="1:26" ht="26.25" customHeight="1">
      <c r="A9" s="7"/>
      <c r="B9" s="51">
        <v>1</v>
      </c>
      <c r="C9" s="52" t="s">
        <v>39</v>
      </c>
      <c r="D9" s="53" t="s">
        <v>39</v>
      </c>
      <c r="E9" s="54" t="s">
        <v>40</v>
      </c>
      <c r="F9" s="55" t="s">
        <v>41</v>
      </c>
      <c r="G9" s="7"/>
      <c r="H9" s="7"/>
      <c r="I9" s="7"/>
      <c r="J9" s="7"/>
      <c r="K9" s="7"/>
      <c r="L9" s="7"/>
      <c r="M9" s="7"/>
      <c r="N9" s="7"/>
      <c r="O9" s="7"/>
      <c r="P9" s="7"/>
      <c r="Q9" s="7"/>
      <c r="R9" s="7"/>
      <c r="S9" s="7"/>
      <c r="T9" s="7"/>
      <c r="U9" s="7"/>
      <c r="V9" s="7"/>
      <c r="W9" s="7"/>
      <c r="X9" s="7"/>
      <c r="Y9" s="7"/>
      <c r="Z9" s="7"/>
    </row>
    <row r="10" spans="1:26" ht="25.5" customHeight="1">
      <c r="A10" s="7"/>
      <c r="B10" s="51">
        <v>2</v>
      </c>
      <c r="C10" s="52" t="s">
        <v>42</v>
      </c>
      <c r="D10" s="53" t="s">
        <v>43</v>
      </c>
      <c r="E10" s="54" t="s">
        <v>44</v>
      </c>
      <c r="F10" s="55" t="s">
        <v>45</v>
      </c>
      <c r="G10" s="7"/>
      <c r="H10" s="7"/>
      <c r="I10" s="7"/>
      <c r="J10" s="7"/>
      <c r="K10" s="7"/>
      <c r="L10" s="7"/>
      <c r="M10" s="7"/>
      <c r="N10" s="7"/>
      <c r="O10" s="7"/>
      <c r="P10" s="7"/>
      <c r="Q10" s="7"/>
      <c r="R10" s="7"/>
      <c r="S10" s="7"/>
      <c r="T10" s="7"/>
      <c r="U10" s="7"/>
      <c r="V10" s="7"/>
      <c r="W10" s="7"/>
      <c r="X10" s="7"/>
      <c r="Y10" s="7"/>
      <c r="Z10" s="7"/>
    </row>
    <row r="11" spans="1:26" ht="24.75" customHeight="1">
      <c r="A11" s="7"/>
      <c r="B11" s="51">
        <v>3</v>
      </c>
      <c r="C11" s="56" t="s">
        <v>46</v>
      </c>
      <c r="D11" s="54" t="s">
        <v>46</v>
      </c>
      <c r="E11" s="57" t="s">
        <v>47</v>
      </c>
      <c r="F11" s="55" t="s">
        <v>48</v>
      </c>
      <c r="G11" s="7"/>
      <c r="H11" s="7"/>
      <c r="I11" s="7"/>
      <c r="J11" s="7"/>
      <c r="K11" s="7"/>
      <c r="L11" s="7"/>
      <c r="M11" s="7"/>
      <c r="N11" s="7"/>
      <c r="O11" s="7"/>
      <c r="P11" s="7"/>
      <c r="Q11" s="7"/>
      <c r="R11" s="7"/>
      <c r="S11" s="7"/>
      <c r="T11" s="7"/>
      <c r="U11" s="7"/>
      <c r="V11" s="7"/>
      <c r="W11" s="7"/>
      <c r="X11" s="7"/>
      <c r="Y11" s="7"/>
      <c r="Z11" s="7"/>
    </row>
    <row r="12" spans="1:26" ht="27.75" customHeight="1">
      <c r="A12" s="7"/>
      <c r="B12" s="51">
        <v>4</v>
      </c>
      <c r="C12" s="52" t="s">
        <v>49</v>
      </c>
      <c r="D12" s="54" t="s">
        <v>49</v>
      </c>
      <c r="E12" s="54" t="s">
        <v>50</v>
      </c>
      <c r="F12" s="55" t="s">
        <v>51</v>
      </c>
      <c r="G12" s="7"/>
      <c r="H12" s="7"/>
      <c r="I12" s="7"/>
      <c r="J12" s="7"/>
      <c r="K12" s="7"/>
      <c r="L12" s="7"/>
      <c r="M12" s="7"/>
      <c r="N12" s="7"/>
      <c r="O12" s="7"/>
      <c r="P12" s="7"/>
      <c r="Q12" s="7"/>
      <c r="R12" s="7"/>
      <c r="S12" s="7"/>
      <c r="T12" s="7"/>
      <c r="U12" s="7"/>
      <c r="V12" s="7"/>
      <c r="W12" s="7"/>
      <c r="X12" s="7"/>
      <c r="Y12" s="7"/>
      <c r="Z12" s="7"/>
    </row>
    <row r="13" spans="1:26" ht="28.2">
      <c r="A13" s="58"/>
      <c r="B13" s="59">
        <v>5</v>
      </c>
      <c r="C13" s="60" t="s">
        <v>23</v>
      </c>
      <c r="D13" s="61" t="s">
        <v>23</v>
      </c>
      <c r="E13" s="61" t="s">
        <v>52</v>
      </c>
      <c r="F13" s="62" t="s">
        <v>53</v>
      </c>
      <c r="G13" s="58"/>
      <c r="H13" s="58"/>
      <c r="I13" s="58"/>
      <c r="J13" s="58"/>
      <c r="K13" s="58"/>
      <c r="L13" s="58"/>
      <c r="M13" s="58"/>
      <c r="N13" s="58"/>
      <c r="O13" s="58"/>
      <c r="P13" s="58"/>
      <c r="Q13" s="58"/>
      <c r="R13" s="58"/>
      <c r="S13" s="58"/>
      <c r="T13" s="58"/>
      <c r="U13" s="58"/>
      <c r="V13" s="58"/>
      <c r="W13" s="58"/>
      <c r="X13" s="58"/>
      <c r="Y13" s="58"/>
      <c r="Z13" s="58"/>
    </row>
    <row r="14" spans="1:26" ht="41.4">
      <c r="A14" s="7"/>
      <c r="B14" s="63">
        <v>6</v>
      </c>
      <c r="C14" s="64" t="s">
        <v>27</v>
      </c>
      <c r="D14" s="65" t="s">
        <v>27</v>
      </c>
      <c r="E14" s="66" t="s">
        <v>54</v>
      </c>
      <c r="F14" s="67" t="s">
        <v>55</v>
      </c>
      <c r="G14" s="7"/>
      <c r="H14" s="7"/>
      <c r="I14" s="7"/>
      <c r="J14" s="7"/>
      <c r="K14" s="7"/>
      <c r="L14" s="7"/>
      <c r="M14" s="7"/>
      <c r="N14" s="7"/>
      <c r="O14" s="7"/>
      <c r="P14" s="7"/>
      <c r="Q14" s="7"/>
      <c r="R14" s="7"/>
      <c r="S14" s="7"/>
      <c r="T14" s="7"/>
      <c r="U14" s="7"/>
      <c r="V14" s="7"/>
      <c r="W14" s="7"/>
      <c r="X14" s="7"/>
      <c r="Y14" s="7"/>
      <c r="Z14" s="7"/>
    </row>
    <row r="15" spans="1:26" ht="27.6">
      <c r="A15" s="7"/>
      <c r="B15" s="68">
        <v>7</v>
      </c>
      <c r="C15" s="69" t="s">
        <v>56</v>
      </c>
      <c r="D15" s="70" t="s">
        <v>57</v>
      </c>
      <c r="E15" s="66" t="s">
        <v>58</v>
      </c>
      <c r="F15" s="71" t="s">
        <v>59</v>
      </c>
      <c r="G15" s="7"/>
      <c r="H15" s="7"/>
      <c r="I15" s="7"/>
      <c r="J15" s="7"/>
      <c r="K15" s="7"/>
      <c r="L15" s="7"/>
      <c r="M15" s="7"/>
      <c r="N15" s="7"/>
      <c r="O15" s="7"/>
      <c r="P15" s="7"/>
      <c r="Q15" s="7"/>
      <c r="R15" s="7"/>
      <c r="S15" s="7"/>
      <c r="T15" s="7"/>
      <c r="U15" s="7"/>
      <c r="V15" s="7"/>
      <c r="W15" s="7"/>
      <c r="X15" s="7"/>
      <c r="Y15" s="7"/>
      <c r="Z15" s="7"/>
    </row>
    <row r="16" spans="1:26" ht="27.6">
      <c r="A16" s="7"/>
      <c r="B16" s="68">
        <v>8</v>
      </c>
      <c r="C16" s="69" t="s">
        <v>60</v>
      </c>
      <c r="D16" s="70" t="s">
        <v>61</v>
      </c>
      <c r="E16" s="66" t="s">
        <v>62</v>
      </c>
      <c r="F16" s="71" t="s">
        <v>63</v>
      </c>
      <c r="G16" s="7"/>
      <c r="H16" s="7"/>
      <c r="I16" s="7"/>
      <c r="J16" s="7"/>
      <c r="K16" s="7"/>
      <c r="L16" s="7"/>
      <c r="M16" s="7"/>
      <c r="N16" s="7"/>
      <c r="O16" s="7"/>
      <c r="P16" s="7"/>
      <c r="Q16" s="7"/>
      <c r="R16" s="7"/>
      <c r="S16" s="7"/>
      <c r="T16" s="7"/>
      <c r="U16" s="7"/>
      <c r="V16" s="7"/>
      <c r="W16" s="7"/>
      <c r="X16" s="7"/>
      <c r="Y16" s="7"/>
      <c r="Z16" s="7"/>
    </row>
    <row r="17" spans="1:26" ht="27.6">
      <c r="A17" s="7"/>
      <c r="B17" s="68">
        <v>9</v>
      </c>
      <c r="C17" s="72" t="s">
        <v>64</v>
      </c>
      <c r="D17" s="70" t="s">
        <v>65</v>
      </c>
      <c r="E17" s="73" t="s">
        <v>66</v>
      </c>
      <c r="F17" s="71" t="s">
        <v>67</v>
      </c>
      <c r="G17" s="7"/>
      <c r="H17" s="7"/>
      <c r="I17" s="7"/>
      <c r="J17" s="7"/>
      <c r="K17" s="7"/>
      <c r="L17" s="7"/>
      <c r="M17" s="7"/>
      <c r="N17" s="7"/>
      <c r="O17" s="7"/>
      <c r="P17" s="7"/>
      <c r="Q17" s="7"/>
      <c r="R17" s="7"/>
      <c r="S17" s="7"/>
      <c r="T17" s="7"/>
      <c r="U17" s="7"/>
      <c r="V17" s="7"/>
      <c r="W17" s="7"/>
      <c r="X17" s="7"/>
      <c r="Y17" s="7"/>
      <c r="Z17" s="7"/>
    </row>
    <row r="18" spans="1:26" ht="27.6">
      <c r="A18" s="7"/>
      <c r="B18" s="68">
        <v>10</v>
      </c>
      <c r="C18" s="69" t="s">
        <v>68</v>
      </c>
      <c r="D18" s="70" t="s">
        <v>69</v>
      </c>
      <c r="E18" s="66" t="s">
        <v>70</v>
      </c>
      <c r="F18" s="71" t="s">
        <v>71</v>
      </c>
      <c r="G18" s="7"/>
      <c r="H18" s="7"/>
      <c r="I18" s="7"/>
      <c r="J18" s="7"/>
      <c r="K18" s="7"/>
      <c r="L18" s="7"/>
      <c r="M18" s="7"/>
      <c r="N18" s="7"/>
      <c r="O18" s="7"/>
      <c r="P18" s="7"/>
      <c r="Q18" s="7"/>
      <c r="R18" s="7"/>
      <c r="S18" s="7"/>
      <c r="T18" s="7"/>
      <c r="U18" s="7"/>
      <c r="V18" s="7"/>
      <c r="W18" s="7"/>
      <c r="X18" s="7"/>
      <c r="Y18" s="7"/>
      <c r="Z18" s="7"/>
    </row>
    <row r="19" spans="1:26" ht="14.4">
      <c r="A19" s="7"/>
      <c r="B19" s="74">
        <v>11</v>
      </c>
      <c r="C19" s="75" t="s">
        <v>72</v>
      </c>
      <c r="D19" s="76" t="s">
        <v>73</v>
      </c>
      <c r="E19" s="76" t="s">
        <v>74</v>
      </c>
      <c r="F19" s="76" t="s">
        <v>75</v>
      </c>
      <c r="G19" s="7"/>
      <c r="H19" s="7"/>
      <c r="I19" s="7"/>
      <c r="J19" s="7"/>
      <c r="K19" s="7"/>
      <c r="L19" s="7"/>
      <c r="M19" s="7"/>
      <c r="N19" s="7"/>
      <c r="O19" s="7"/>
      <c r="P19" s="7"/>
      <c r="Q19" s="7"/>
      <c r="R19" s="7"/>
      <c r="S19" s="7"/>
      <c r="T19" s="7"/>
      <c r="U19" s="7"/>
      <c r="V19" s="7"/>
      <c r="W19" s="7"/>
      <c r="X19" s="7"/>
      <c r="Y19" s="7"/>
      <c r="Z19" s="7"/>
    </row>
    <row r="20" spans="1:26" ht="14.4">
      <c r="A20" s="7"/>
      <c r="B20" s="74">
        <v>12</v>
      </c>
      <c r="C20" s="75" t="s">
        <v>76</v>
      </c>
      <c r="D20" s="76" t="s">
        <v>73</v>
      </c>
      <c r="E20" s="76" t="s">
        <v>77</v>
      </c>
      <c r="F20" s="76" t="s">
        <v>78</v>
      </c>
      <c r="G20" s="7"/>
      <c r="H20" s="7"/>
      <c r="I20" s="7"/>
      <c r="J20" s="7"/>
      <c r="K20" s="7"/>
      <c r="L20" s="7"/>
      <c r="M20" s="7"/>
      <c r="N20" s="7"/>
      <c r="O20" s="7"/>
      <c r="P20" s="7"/>
      <c r="Q20" s="7"/>
      <c r="R20" s="7"/>
      <c r="S20" s="7"/>
      <c r="T20" s="7"/>
      <c r="U20" s="7"/>
      <c r="V20" s="7"/>
      <c r="W20" s="7"/>
      <c r="X20" s="7"/>
      <c r="Y20" s="7"/>
      <c r="Z20" s="7"/>
    </row>
    <row r="21" spans="1:26" ht="14.4">
      <c r="A21" s="7"/>
      <c r="B21" s="74">
        <v>13</v>
      </c>
      <c r="C21" s="75" t="s">
        <v>79</v>
      </c>
      <c r="D21" s="76" t="s">
        <v>73</v>
      </c>
      <c r="E21" s="76" t="s">
        <v>80</v>
      </c>
      <c r="F21" s="76" t="s">
        <v>81</v>
      </c>
      <c r="G21" s="7"/>
      <c r="H21" s="7"/>
      <c r="I21" s="7"/>
      <c r="J21" s="7"/>
      <c r="K21" s="7"/>
      <c r="L21" s="7"/>
      <c r="M21" s="7"/>
      <c r="N21" s="7"/>
      <c r="O21" s="7"/>
      <c r="P21" s="7"/>
      <c r="Q21" s="7"/>
      <c r="R21" s="7"/>
      <c r="S21" s="7"/>
      <c r="T21" s="7"/>
      <c r="U21" s="7"/>
      <c r="V21" s="7"/>
      <c r="W21" s="7"/>
      <c r="X21" s="7"/>
      <c r="Y21" s="7"/>
      <c r="Z21" s="7"/>
    </row>
    <row r="22" spans="1:26" ht="14.4">
      <c r="A22" s="7"/>
      <c r="B22" s="74">
        <v>14</v>
      </c>
      <c r="C22" s="76" t="s">
        <v>82</v>
      </c>
      <c r="D22" s="76" t="s">
        <v>73</v>
      </c>
      <c r="E22" s="76" t="s">
        <v>83</v>
      </c>
      <c r="F22" s="76" t="s">
        <v>84</v>
      </c>
      <c r="G22" s="7"/>
      <c r="H22" s="7"/>
      <c r="I22" s="7"/>
      <c r="J22" s="7"/>
      <c r="K22" s="7"/>
      <c r="L22" s="7"/>
      <c r="M22" s="7"/>
      <c r="N22" s="7"/>
      <c r="O22" s="7"/>
      <c r="P22" s="7"/>
      <c r="Q22" s="7"/>
      <c r="R22" s="7"/>
      <c r="S22" s="7"/>
      <c r="T22" s="7"/>
      <c r="U22" s="7"/>
      <c r="V22" s="7"/>
      <c r="W22" s="7"/>
      <c r="X22" s="7"/>
      <c r="Y22" s="7"/>
      <c r="Z22" s="7"/>
    </row>
    <row r="23" spans="1:26" ht="14.4">
      <c r="A23" s="7"/>
      <c r="B23" s="74">
        <v>15</v>
      </c>
      <c r="C23" s="76" t="s">
        <v>85</v>
      </c>
      <c r="D23" s="76" t="s">
        <v>73</v>
      </c>
      <c r="E23" s="76" t="s">
        <v>86</v>
      </c>
      <c r="F23" s="76" t="s">
        <v>87</v>
      </c>
      <c r="G23" s="7"/>
      <c r="H23" s="7"/>
      <c r="I23" s="7"/>
      <c r="J23" s="7"/>
      <c r="K23" s="7"/>
      <c r="L23" s="7"/>
      <c r="M23" s="7"/>
      <c r="N23" s="7"/>
      <c r="O23" s="7"/>
      <c r="P23" s="7"/>
      <c r="Q23" s="7"/>
      <c r="R23" s="7"/>
      <c r="S23" s="7"/>
      <c r="T23" s="7"/>
      <c r="U23" s="7"/>
      <c r="V23" s="7"/>
      <c r="W23" s="7"/>
      <c r="X23" s="7"/>
      <c r="Y23" s="7"/>
      <c r="Z23" s="7"/>
    </row>
    <row r="24" spans="1:26" ht="14.4">
      <c r="A24" s="7"/>
      <c r="B24" s="74">
        <v>16</v>
      </c>
      <c r="C24" s="76" t="s">
        <v>88</v>
      </c>
      <c r="D24" s="76" t="s">
        <v>73</v>
      </c>
      <c r="E24" s="76" t="s">
        <v>89</v>
      </c>
      <c r="F24" s="76" t="s">
        <v>90</v>
      </c>
      <c r="G24" s="7"/>
      <c r="H24" s="7"/>
      <c r="I24" s="7"/>
      <c r="J24" s="7"/>
      <c r="K24" s="7"/>
      <c r="L24" s="7"/>
      <c r="M24" s="7"/>
      <c r="N24" s="7"/>
      <c r="O24" s="7"/>
      <c r="P24" s="7"/>
      <c r="Q24" s="7"/>
      <c r="R24" s="7"/>
      <c r="S24" s="7"/>
      <c r="T24" s="7"/>
      <c r="U24" s="7"/>
      <c r="V24" s="7"/>
      <c r="W24" s="7"/>
      <c r="X24" s="7"/>
      <c r="Y24" s="7"/>
      <c r="Z24" s="7"/>
    </row>
    <row r="25" spans="1:26" ht="7.5" customHeight="1">
      <c r="A25" s="7"/>
      <c r="B25" s="36"/>
      <c r="C25" s="37"/>
      <c r="D25" s="37"/>
      <c r="E25" s="37"/>
      <c r="F25" s="37"/>
      <c r="G25" s="7"/>
      <c r="H25" s="7"/>
      <c r="I25" s="7"/>
      <c r="J25" s="7"/>
      <c r="K25" s="7"/>
      <c r="L25" s="7"/>
      <c r="M25" s="7"/>
      <c r="N25" s="7"/>
      <c r="O25" s="7"/>
      <c r="P25" s="7"/>
      <c r="Q25" s="7"/>
      <c r="R25" s="7"/>
      <c r="S25" s="7"/>
      <c r="T25" s="7"/>
      <c r="U25" s="7"/>
      <c r="V25" s="7"/>
      <c r="W25" s="7"/>
      <c r="X25" s="7"/>
      <c r="Y25" s="7"/>
      <c r="Z25" s="7"/>
    </row>
    <row r="26" spans="1:26" ht="7.5" customHeight="1">
      <c r="A26" s="7"/>
      <c r="B26" s="36"/>
      <c r="C26" s="37"/>
      <c r="D26" s="37"/>
      <c r="E26" s="37"/>
      <c r="F26" s="37"/>
      <c r="G26" s="7"/>
      <c r="H26" s="7"/>
      <c r="I26" s="7"/>
      <c r="J26" s="7"/>
      <c r="K26" s="7"/>
      <c r="L26" s="7"/>
      <c r="M26" s="7"/>
      <c r="N26" s="7"/>
      <c r="O26" s="7"/>
      <c r="P26" s="7"/>
      <c r="Q26" s="7"/>
      <c r="R26" s="7"/>
      <c r="S26" s="7"/>
      <c r="T26" s="7"/>
      <c r="U26" s="7"/>
      <c r="V26" s="7"/>
      <c r="W26" s="7"/>
      <c r="X26" s="7"/>
      <c r="Y26" s="7"/>
      <c r="Z26" s="7"/>
    </row>
    <row r="27" spans="1:26" ht="7.5" customHeight="1">
      <c r="A27" s="7"/>
      <c r="B27" s="36"/>
      <c r="C27" s="37"/>
      <c r="D27" s="37"/>
      <c r="E27" s="37"/>
      <c r="F27" s="37"/>
      <c r="G27" s="7"/>
      <c r="H27" s="7"/>
      <c r="I27" s="7"/>
      <c r="J27" s="7"/>
      <c r="K27" s="7"/>
      <c r="L27" s="7"/>
      <c r="M27" s="7"/>
      <c r="N27" s="7"/>
      <c r="O27" s="7"/>
      <c r="P27" s="7"/>
      <c r="Q27" s="7"/>
      <c r="R27" s="7"/>
      <c r="S27" s="7"/>
      <c r="T27" s="7"/>
      <c r="U27" s="7"/>
      <c r="V27" s="7"/>
      <c r="W27" s="7"/>
      <c r="X27" s="7"/>
      <c r="Y27" s="7"/>
      <c r="Z27" s="7"/>
    </row>
    <row r="28" spans="1:26" ht="7.5" customHeight="1">
      <c r="A28" s="7"/>
      <c r="B28" s="36"/>
      <c r="C28" s="37"/>
      <c r="D28" s="37"/>
      <c r="E28" s="37"/>
      <c r="F28" s="37"/>
      <c r="G28" s="7"/>
      <c r="H28" s="7"/>
      <c r="I28" s="7"/>
      <c r="J28" s="7"/>
      <c r="K28" s="7"/>
      <c r="L28" s="7"/>
      <c r="M28" s="7"/>
      <c r="N28" s="7"/>
      <c r="O28" s="7"/>
      <c r="P28" s="7"/>
      <c r="Q28" s="7"/>
      <c r="R28" s="7"/>
      <c r="S28" s="7"/>
      <c r="T28" s="7"/>
      <c r="U28" s="7"/>
      <c r="V28" s="7"/>
      <c r="W28" s="7"/>
      <c r="X28" s="7"/>
      <c r="Y28" s="7"/>
      <c r="Z28" s="7"/>
    </row>
    <row r="29" spans="1:26" ht="7.5" customHeight="1">
      <c r="A29" s="7"/>
      <c r="B29" s="36"/>
      <c r="C29" s="37"/>
      <c r="D29" s="37"/>
      <c r="E29" s="37"/>
      <c r="F29" s="37"/>
      <c r="G29" s="7"/>
      <c r="H29" s="7"/>
      <c r="I29" s="7"/>
      <c r="J29" s="7"/>
      <c r="K29" s="7"/>
      <c r="L29" s="7"/>
      <c r="M29" s="7"/>
      <c r="N29" s="7"/>
      <c r="O29" s="7"/>
      <c r="P29" s="7"/>
      <c r="Q29" s="7"/>
      <c r="R29" s="7"/>
      <c r="S29" s="7"/>
      <c r="T29" s="7"/>
      <c r="U29" s="7"/>
      <c r="V29" s="7"/>
      <c r="W29" s="7"/>
      <c r="X29" s="7"/>
      <c r="Y29" s="7"/>
      <c r="Z29" s="7"/>
    </row>
    <row r="30" spans="1:26" ht="7.5" customHeight="1">
      <c r="A30" s="7"/>
      <c r="B30" s="36"/>
      <c r="C30" s="37"/>
      <c r="D30" s="37"/>
      <c r="E30" s="37"/>
      <c r="F30" s="37"/>
      <c r="G30" s="7"/>
      <c r="H30" s="7"/>
      <c r="I30" s="7"/>
      <c r="J30" s="7"/>
      <c r="K30" s="7"/>
      <c r="L30" s="7"/>
      <c r="M30" s="7"/>
      <c r="N30" s="7"/>
      <c r="O30" s="7"/>
      <c r="P30" s="7"/>
      <c r="Q30" s="7"/>
      <c r="R30" s="7"/>
      <c r="S30" s="7"/>
      <c r="T30" s="7"/>
      <c r="U30" s="7"/>
      <c r="V30" s="7"/>
      <c r="W30" s="7"/>
      <c r="X30" s="7"/>
      <c r="Y30" s="7"/>
      <c r="Z30" s="7"/>
    </row>
    <row r="31" spans="1:26" ht="7.5" customHeight="1">
      <c r="A31" s="7"/>
      <c r="B31" s="36"/>
      <c r="C31" s="37"/>
      <c r="D31" s="37"/>
      <c r="E31" s="37"/>
      <c r="F31" s="37"/>
      <c r="G31" s="7"/>
      <c r="H31" s="7"/>
      <c r="I31" s="7"/>
      <c r="J31" s="7"/>
      <c r="K31" s="7"/>
      <c r="L31" s="7"/>
      <c r="M31" s="7"/>
      <c r="N31" s="7"/>
      <c r="O31" s="7"/>
      <c r="P31" s="7"/>
      <c r="Q31" s="7"/>
      <c r="R31" s="7"/>
      <c r="S31" s="7"/>
      <c r="T31" s="7"/>
      <c r="U31" s="7"/>
      <c r="V31" s="7"/>
      <c r="W31" s="7"/>
      <c r="X31" s="7"/>
      <c r="Y31" s="7"/>
      <c r="Z31" s="7"/>
    </row>
    <row r="32" spans="1:26" ht="7.5" customHeight="1">
      <c r="A32" s="7"/>
      <c r="B32" s="36"/>
      <c r="C32" s="37"/>
      <c r="D32" s="37"/>
      <c r="E32" s="37"/>
      <c r="F32" s="37"/>
      <c r="G32" s="7"/>
      <c r="H32" s="7"/>
      <c r="I32" s="7"/>
      <c r="J32" s="7"/>
      <c r="K32" s="7"/>
      <c r="L32" s="7"/>
      <c r="M32" s="7"/>
      <c r="N32" s="7"/>
      <c r="O32" s="7"/>
      <c r="P32" s="7"/>
      <c r="Q32" s="7"/>
      <c r="R32" s="7"/>
      <c r="S32" s="7"/>
      <c r="T32" s="7"/>
      <c r="U32" s="7"/>
      <c r="V32" s="7"/>
      <c r="W32" s="7"/>
      <c r="X32" s="7"/>
      <c r="Y32" s="7"/>
      <c r="Z32" s="7"/>
    </row>
    <row r="33" spans="1:26" ht="7.5" customHeight="1">
      <c r="A33" s="7"/>
      <c r="B33" s="36"/>
      <c r="C33" s="37"/>
      <c r="D33" s="37"/>
      <c r="E33" s="37"/>
      <c r="F33" s="37"/>
      <c r="G33" s="7"/>
      <c r="H33" s="7"/>
      <c r="I33" s="7"/>
      <c r="J33" s="7"/>
      <c r="K33" s="7"/>
      <c r="L33" s="7"/>
      <c r="M33" s="7"/>
      <c r="N33" s="7"/>
      <c r="O33" s="7"/>
      <c r="P33" s="7"/>
      <c r="Q33" s="7"/>
      <c r="R33" s="7"/>
      <c r="S33" s="7"/>
      <c r="T33" s="7"/>
      <c r="U33" s="7"/>
      <c r="V33" s="7"/>
      <c r="W33" s="7"/>
      <c r="X33" s="7"/>
      <c r="Y33" s="7"/>
      <c r="Z33" s="7"/>
    </row>
    <row r="34" spans="1:26" ht="7.5" customHeight="1">
      <c r="A34" s="7"/>
      <c r="B34" s="36"/>
      <c r="C34" s="37"/>
      <c r="D34" s="37"/>
      <c r="E34" s="37"/>
      <c r="F34" s="37"/>
      <c r="G34" s="7"/>
      <c r="H34" s="7"/>
      <c r="I34" s="7"/>
      <c r="J34" s="7"/>
      <c r="K34" s="7"/>
      <c r="L34" s="7"/>
      <c r="M34" s="7"/>
      <c r="N34" s="7"/>
      <c r="O34" s="7"/>
      <c r="P34" s="7"/>
      <c r="Q34" s="7"/>
      <c r="R34" s="7"/>
      <c r="S34" s="7"/>
      <c r="T34" s="7"/>
      <c r="U34" s="7"/>
      <c r="V34" s="7"/>
      <c r="W34" s="7"/>
      <c r="X34" s="7"/>
      <c r="Y34" s="7"/>
      <c r="Z34" s="7"/>
    </row>
    <row r="35" spans="1:26" ht="7.5" customHeight="1">
      <c r="A35" s="7"/>
      <c r="B35" s="36"/>
      <c r="C35" s="37"/>
      <c r="D35" s="37"/>
      <c r="E35" s="37"/>
      <c r="F35" s="37"/>
      <c r="G35" s="7"/>
      <c r="H35" s="7"/>
      <c r="I35" s="7"/>
      <c r="J35" s="7"/>
      <c r="K35" s="7"/>
      <c r="L35" s="7"/>
      <c r="M35" s="7"/>
      <c r="N35" s="7"/>
      <c r="O35" s="7"/>
      <c r="P35" s="7"/>
      <c r="Q35" s="7"/>
      <c r="R35" s="7"/>
      <c r="S35" s="7"/>
      <c r="T35" s="7"/>
      <c r="U35" s="7"/>
      <c r="V35" s="7"/>
      <c r="W35" s="7"/>
      <c r="X35" s="7"/>
      <c r="Y35" s="7"/>
      <c r="Z35" s="7"/>
    </row>
    <row r="36" spans="1:26" ht="7.5" customHeight="1">
      <c r="A36" s="7"/>
      <c r="B36" s="36"/>
      <c r="C36" s="37"/>
      <c r="D36" s="37"/>
      <c r="E36" s="37"/>
      <c r="F36" s="37"/>
      <c r="G36" s="7"/>
      <c r="H36" s="7"/>
      <c r="I36" s="7"/>
      <c r="J36" s="7"/>
      <c r="K36" s="7"/>
      <c r="L36" s="7"/>
      <c r="M36" s="7"/>
      <c r="N36" s="7"/>
      <c r="O36" s="7"/>
      <c r="P36" s="7"/>
      <c r="Q36" s="7"/>
      <c r="R36" s="7"/>
      <c r="S36" s="7"/>
      <c r="T36" s="7"/>
      <c r="U36" s="7"/>
      <c r="V36" s="7"/>
      <c r="W36" s="7"/>
      <c r="X36" s="7"/>
      <c r="Y36" s="7"/>
      <c r="Z36" s="7"/>
    </row>
    <row r="37" spans="1:26" ht="7.5" customHeight="1">
      <c r="A37" s="7"/>
      <c r="B37" s="36"/>
      <c r="C37" s="37"/>
      <c r="D37" s="37"/>
      <c r="E37" s="37"/>
      <c r="F37" s="37"/>
      <c r="G37" s="7"/>
      <c r="H37" s="7"/>
      <c r="I37" s="7"/>
      <c r="J37" s="7"/>
      <c r="K37" s="7"/>
      <c r="L37" s="7"/>
      <c r="M37" s="7"/>
      <c r="N37" s="7"/>
      <c r="O37" s="7"/>
      <c r="P37" s="7"/>
      <c r="Q37" s="7"/>
      <c r="R37" s="7"/>
      <c r="S37" s="7"/>
      <c r="T37" s="7"/>
      <c r="U37" s="7"/>
      <c r="V37" s="7"/>
      <c r="W37" s="7"/>
      <c r="X37" s="7"/>
      <c r="Y37" s="7"/>
      <c r="Z37" s="7"/>
    </row>
    <row r="38" spans="1:26" ht="7.5" customHeight="1">
      <c r="A38" s="7"/>
      <c r="B38" s="36"/>
      <c r="C38" s="37"/>
      <c r="D38" s="37"/>
      <c r="E38" s="37"/>
      <c r="F38" s="37"/>
      <c r="G38" s="7"/>
      <c r="H38" s="7"/>
      <c r="I38" s="7"/>
      <c r="J38" s="7"/>
      <c r="K38" s="7"/>
      <c r="L38" s="7"/>
      <c r="M38" s="7"/>
      <c r="N38" s="7"/>
      <c r="O38" s="7"/>
      <c r="P38" s="7"/>
      <c r="Q38" s="7"/>
      <c r="R38" s="7"/>
      <c r="S38" s="7"/>
      <c r="T38" s="7"/>
      <c r="U38" s="7"/>
      <c r="V38" s="7"/>
      <c r="W38" s="7"/>
      <c r="X38" s="7"/>
      <c r="Y38" s="7"/>
      <c r="Z38" s="7"/>
    </row>
    <row r="39" spans="1:26" ht="7.5" customHeight="1">
      <c r="A39" s="7"/>
      <c r="B39" s="36"/>
      <c r="C39" s="37"/>
      <c r="D39" s="37"/>
      <c r="E39" s="37"/>
      <c r="F39" s="37"/>
      <c r="G39" s="7"/>
      <c r="H39" s="7"/>
      <c r="I39" s="7"/>
      <c r="J39" s="7"/>
      <c r="K39" s="7"/>
      <c r="L39" s="7"/>
      <c r="M39" s="7"/>
      <c r="N39" s="7"/>
      <c r="O39" s="7"/>
      <c r="P39" s="7"/>
      <c r="Q39" s="7"/>
      <c r="R39" s="7"/>
      <c r="S39" s="7"/>
      <c r="T39" s="7"/>
      <c r="U39" s="7"/>
      <c r="V39" s="7"/>
      <c r="W39" s="7"/>
      <c r="X39" s="7"/>
      <c r="Y39" s="7"/>
      <c r="Z39" s="7"/>
    </row>
    <row r="40" spans="1:26" ht="7.5" customHeight="1">
      <c r="A40" s="7"/>
      <c r="B40" s="36"/>
      <c r="C40" s="37"/>
      <c r="D40" s="37"/>
      <c r="E40" s="37"/>
      <c r="F40" s="37"/>
      <c r="G40" s="7"/>
      <c r="H40" s="7"/>
      <c r="I40" s="7"/>
      <c r="J40" s="7"/>
      <c r="K40" s="7"/>
      <c r="L40" s="7"/>
      <c r="M40" s="7"/>
      <c r="N40" s="7"/>
      <c r="O40" s="7"/>
      <c r="P40" s="7"/>
      <c r="Q40" s="7"/>
      <c r="R40" s="7"/>
      <c r="S40" s="7"/>
      <c r="T40" s="7"/>
      <c r="U40" s="7"/>
      <c r="V40" s="7"/>
      <c r="W40" s="7"/>
      <c r="X40" s="7"/>
      <c r="Y40" s="7"/>
      <c r="Z40" s="7"/>
    </row>
    <row r="41" spans="1:26" ht="7.5" customHeight="1">
      <c r="A41" s="7"/>
      <c r="B41" s="36"/>
      <c r="C41" s="37"/>
      <c r="D41" s="37"/>
      <c r="E41" s="37"/>
      <c r="F41" s="37"/>
      <c r="G41" s="7"/>
      <c r="H41" s="7"/>
      <c r="I41" s="7"/>
      <c r="J41" s="7"/>
      <c r="K41" s="7"/>
      <c r="L41" s="7"/>
      <c r="M41" s="7"/>
      <c r="N41" s="7"/>
      <c r="O41" s="7"/>
      <c r="P41" s="7"/>
      <c r="Q41" s="7"/>
      <c r="R41" s="7"/>
      <c r="S41" s="7"/>
      <c r="T41" s="7"/>
      <c r="U41" s="7"/>
      <c r="V41" s="7"/>
      <c r="W41" s="7"/>
      <c r="X41" s="7"/>
      <c r="Y41" s="7"/>
      <c r="Z41" s="7"/>
    </row>
    <row r="42" spans="1:26" ht="7.5" customHeight="1">
      <c r="A42" s="7"/>
      <c r="B42" s="36"/>
      <c r="C42" s="37"/>
      <c r="D42" s="37"/>
      <c r="E42" s="37"/>
      <c r="F42" s="37"/>
      <c r="G42" s="7"/>
      <c r="H42" s="7"/>
      <c r="I42" s="7"/>
      <c r="J42" s="7"/>
      <c r="K42" s="7"/>
      <c r="L42" s="7"/>
      <c r="M42" s="7"/>
      <c r="N42" s="7"/>
      <c r="O42" s="7"/>
      <c r="P42" s="7"/>
      <c r="Q42" s="7"/>
      <c r="R42" s="7"/>
      <c r="S42" s="7"/>
      <c r="T42" s="7"/>
      <c r="U42" s="7"/>
      <c r="V42" s="7"/>
      <c r="W42" s="7"/>
      <c r="X42" s="7"/>
      <c r="Y42" s="7"/>
      <c r="Z42" s="7"/>
    </row>
    <row r="43" spans="1:26" ht="7.5" customHeight="1">
      <c r="A43" s="7"/>
      <c r="B43" s="36"/>
      <c r="C43" s="37"/>
      <c r="D43" s="37"/>
      <c r="E43" s="37"/>
      <c r="F43" s="37"/>
      <c r="G43" s="7"/>
      <c r="H43" s="7"/>
      <c r="I43" s="7"/>
      <c r="J43" s="7"/>
      <c r="K43" s="7"/>
      <c r="L43" s="7"/>
      <c r="M43" s="7"/>
      <c r="N43" s="7"/>
      <c r="O43" s="7"/>
      <c r="P43" s="7"/>
      <c r="Q43" s="7"/>
      <c r="R43" s="7"/>
      <c r="S43" s="7"/>
      <c r="T43" s="7"/>
      <c r="U43" s="7"/>
      <c r="V43" s="7"/>
      <c r="W43" s="7"/>
      <c r="X43" s="7"/>
      <c r="Y43" s="7"/>
      <c r="Z43" s="7"/>
    </row>
    <row r="44" spans="1:26" ht="7.5" customHeight="1">
      <c r="A44" s="7"/>
      <c r="B44" s="36"/>
      <c r="C44" s="37"/>
      <c r="D44" s="37"/>
      <c r="E44" s="37"/>
      <c r="F44" s="37"/>
      <c r="G44" s="7"/>
      <c r="H44" s="7"/>
      <c r="I44" s="7"/>
      <c r="J44" s="7"/>
      <c r="K44" s="7"/>
      <c r="L44" s="7"/>
      <c r="M44" s="7"/>
      <c r="N44" s="7"/>
      <c r="O44" s="7"/>
      <c r="P44" s="7"/>
      <c r="Q44" s="7"/>
      <c r="R44" s="7"/>
      <c r="S44" s="7"/>
      <c r="T44" s="7"/>
      <c r="U44" s="7"/>
      <c r="V44" s="7"/>
      <c r="W44" s="7"/>
      <c r="X44" s="7"/>
      <c r="Y44" s="7"/>
      <c r="Z44" s="7"/>
    </row>
    <row r="45" spans="1:26" ht="7.5" customHeight="1">
      <c r="A45" s="7"/>
      <c r="B45" s="36"/>
      <c r="C45" s="37"/>
      <c r="D45" s="37"/>
      <c r="E45" s="37"/>
      <c r="F45" s="37"/>
      <c r="G45" s="7"/>
      <c r="H45" s="7"/>
      <c r="I45" s="7"/>
      <c r="J45" s="7"/>
      <c r="K45" s="7"/>
      <c r="L45" s="7"/>
      <c r="M45" s="7"/>
      <c r="N45" s="7"/>
      <c r="O45" s="7"/>
      <c r="P45" s="7"/>
      <c r="Q45" s="7"/>
      <c r="R45" s="7"/>
      <c r="S45" s="7"/>
      <c r="T45" s="7"/>
      <c r="U45" s="7"/>
      <c r="V45" s="7"/>
      <c r="W45" s="7"/>
      <c r="X45" s="7"/>
      <c r="Y45" s="7"/>
      <c r="Z45" s="7"/>
    </row>
    <row r="46" spans="1:26" ht="7.5" customHeight="1">
      <c r="A46" s="7"/>
      <c r="B46" s="36"/>
      <c r="C46" s="37"/>
      <c r="D46" s="37"/>
      <c r="E46" s="37"/>
      <c r="F46" s="37"/>
      <c r="G46" s="7"/>
      <c r="H46" s="7"/>
      <c r="I46" s="7"/>
      <c r="J46" s="7"/>
      <c r="K46" s="7"/>
      <c r="L46" s="7"/>
      <c r="M46" s="7"/>
      <c r="N46" s="7"/>
      <c r="O46" s="7"/>
      <c r="P46" s="7"/>
      <c r="Q46" s="7"/>
      <c r="R46" s="7"/>
      <c r="S46" s="7"/>
      <c r="T46" s="7"/>
      <c r="U46" s="7"/>
      <c r="V46" s="7"/>
      <c r="W46" s="7"/>
      <c r="X46" s="7"/>
      <c r="Y46" s="7"/>
      <c r="Z46" s="7"/>
    </row>
    <row r="47" spans="1:26" ht="7.5" customHeight="1">
      <c r="A47" s="7"/>
      <c r="B47" s="36"/>
      <c r="C47" s="37"/>
      <c r="D47" s="37"/>
      <c r="E47" s="37"/>
      <c r="F47" s="37"/>
      <c r="G47" s="7"/>
      <c r="H47" s="7"/>
      <c r="I47" s="7"/>
      <c r="J47" s="7"/>
      <c r="K47" s="7"/>
      <c r="L47" s="7"/>
      <c r="M47" s="7"/>
      <c r="N47" s="7"/>
      <c r="O47" s="7"/>
      <c r="P47" s="7"/>
      <c r="Q47" s="7"/>
      <c r="R47" s="7"/>
      <c r="S47" s="7"/>
      <c r="T47" s="7"/>
      <c r="U47" s="7"/>
      <c r="V47" s="7"/>
      <c r="W47" s="7"/>
      <c r="X47" s="7"/>
      <c r="Y47" s="7"/>
      <c r="Z47" s="7"/>
    </row>
    <row r="48" spans="1:26" ht="7.5" customHeight="1">
      <c r="A48" s="7"/>
      <c r="B48" s="36"/>
      <c r="C48" s="37"/>
      <c r="D48" s="37"/>
      <c r="E48" s="37"/>
      <c r="F48" s="37"/>
      <c r="G48" s="7"/>
      <c r="H48" s="7"/>
      <c r="I48" s="7"/>
      <c r="J48" s="7"/>
      <c r="K48" s="7"/>
      <c r="L48" s="7"/>
      <c r="M48" s="7"/>
      <c r="N48" s="7"/>
      <c r="O48" s="7"/>
      <c r="P48" s="7"/>
      <c r="Q48" s="7"/>
      <c r="R48" s="7"/>
      <c r="S48" s="7"/>
      <c r="T48" s="7"/>
      <c r="U48" s="7"/>
      <c r="V48" s="7"/>
      <c r="W48" s="7"/>
      <c r="X48" s="7"/>
      <c r="Y48" s="7"/>
      <c r="Z48" s="7"/>
    </row>
    <row r="49" spans="1:26" ht="7.5" customHeight="1">
      <c r="A49" s="7"/>
      <c r="B49" s="36"/>
      <c r="C49" s="37"/>
      <c r="D49" s="37"/>
      <c r="E49" s="37"/>
      <c r="F49" s="37"/>
      <c r="G49" s="7"/>
      <c r="H49" s="7"/>
      <c r="I49" s="7"/>
      <c r="J49" s="7"/>
      <c r="K49" s="7"/>
      <c r="L49" s="7"/>
      <c r="M49" s="7"/>
      <c r="N49" s="7"/>
      <c r="O49" s="7"/>
      <c r="P49" s="7"/>
      <c r="Q49" s="7"/>
      <c r="R49" s="7"/>
      <c r="S49" s="7"/>
      <c r="T49" s="7"/>
      <c r="U49" s="7"/>
      <c r="V49" s="7"/>
      <c r="W49" s="7"/>
      <c r="X49" s="7"/>
      <c r="Y49" s="7"/>
      <c r="Z49" s="7"/>
    </row>
    <row r="50" spans="1:26" ht="7.5" customHeight="1">
      <c r="A50" s="7"/>
      <c r="B50" s="36"/>
      <c r="C50" s="37"/>
      <c r="D50" s="37"/>
      <c r="E50" s="37"/>
      <c r="F50" s="37"/>
      <c r="G50" s="7"/>
      <c r="H50" s="7"/>
      <c r="I50" s="7"/>
      <c r="J50" s="7"/>
      <c r="K50" s="7"/>
      <c r="L50" s="7"/>
      <c r="M50" s="7"/>
      <c r="N50" s="7"/>
      <c r="O50" s="7"/>
      <c r="P50" s="7"/>
      <c r="Q50" s="7"/>
      <c r="R50" s="7"/>
      <c r="S50" s="7"/>
      <c r="T50" s="7"/>
      <c r="U50" s="7"/>
      <c r="V50" s="7"/>
      <c r="W50" s="7"/>
      <c r="X50" s="7"/>
      <c r="Y50" s="7"/>
      <c r="Z50" s="7"/>
    </row>
    <row r="51" spans="1:26" ht="7.5" customHeight="1">
      <c r="A51" s="7"/>
      <c r="B51" s="36"/>
      <c r="C51" s="37"/>
      <c r="D51" s="37"/>
      <c r="E51" s="37"/>
      <c r="F51" s="37"/>
      <c r="G51" s="7"/>
      <c r="H51" s="7"/>
      <c r="I51" s="7"/>
      <c r="J51" s="7"/>
      <c r="K51" s="7"/>
      <c r="L51" s="7"/>
      <c r="M51" s="7"/>
      <c r="N51" s="7"/>
      <c r="O51" s="7"/>
      <c r="P51" s="7"/>
      <c r="Q51" s="7"/>
      <c r="R51" s="7"/>
      <c r="S51" s="7"/>
      <c r="T51" s="7"/>
      <c r="U51" s="7"/>
      <c r="V51" s="7"/>
      <c r="W51" s="7"/>
      <c r="X51" s="7"/>
      <c r="Y51" s="7"/>
      <c r="Z51" s="7"/>
    </row>
    <row r="52" spans="1:26" ht="7.5" customHeight="1">
      <c r="A52" s="7"/>
      <c r="B52" s="36"/>
      <c r="C52" s="37"/>
      <c r="D52" s="37"/>
      <c r="E52" s="37"/>
      <c r="F52" s="37"/>
      <c r="G52" s="7"/>
      <c r="H52" s="7"/>
      <c r="I52" s="7"/>
      <c r="J52" s="7"/>
      <c r="K52" s="7"/>
      <c r="L52" s="7"/>
      <c r="M52" s="7"/>
      <c r="N52" s="7"/>
      <c r="O52" s="7"/>
      <c r="P52" s="7"/>
      <c r="Q52" s="7"/>
      <c r="R52" s="7"/>
      <c r="S52" s="7"/>
      <c r="T52" s="7"/>
      <c r="U52" s="7"/>
      <c r="V52" s="7"/>
      <c r="W52" s="7"/>
      <c r="X52" s="7"/>
      <c r="Y52" s="7"/>
      <c r="Z52" s="7"/>
    </row>
    <row r="53" spans="1:26" ht="7.5" customHeight="1">
      <c r="A53" s="7"/>
      <c r="B53" s="36"/>
      <c r="C53" s="37"/>
      <c r="D53" s="37"/>
      <c r="E53" s="37"/>
      <c r="F53" s="37"/>
      <c r="G53" s="7"/>
      <c r="H53" s="7"/>
      <c r="I53" s="7"/>
      <c r="J53" s="7"/>
      <c r="K53" s="7"/>
      <c r="L53" s="7"/>
      <c r="M53" s="7"/>
      <c r="N53" s="7"/>
      <c r="O53" s="7"/>
      <c r="P53" s="7"/>
      <c r="Q53" s="7"/>
      <c r="R53" s="7"/>
      <c r="S53" s="7"/>
      <c r="T53" s="7"/>
      <c r="U53" s="7"/>
      <c r="V53" s="7"/>
      <c r="W53" s="7"/>
      <c r="X53" s="7"/>
      <c r="Y53" s="7"/>
      <c r="Z53" s="7"/>
    </row>
    <row r="54" spans="1:26" ht="7.5" customHeight="1">
      <c r="A54" s="7"/>
      <c r="B54" s="36"/>
      <c r="C54" s="37"/>
      <c r="D54" s="37"/>
      <c r="E54" s="37"/>
      <c r="F54" s="37"/>
      <c r="G54" s="7"/>
      <c r="H54" s="7"/>
      <c r="I54" s="7"/>
      <c r="J54" s="7"/>
      <c r="K54" s="7"/>
      <c r="L54" s="7"/>
      <c r="M54" s="7"/>
      <c r="N54" s="7"/>
      <c r="O54" s="7"/>
      <c r="P54" s="7"/>
      <c r="Q54" s="7"/>
      <c r="R54" s="7"/>
      <c r="S54" s="7"/>
      <c r="T54" s="7"/>
      <c r="U54" s="7"/>
      <c r="V54" s="7"/>
      <c r="W54" s="7"/>
      <c r="X54" s="7"/>
      <c r="Y54" s="7"/>
      <c r="Z54" s="7"/>
    </row>
    <row r="55" spans="1:26" ht="7.5" customHeight="1">
      <c r="A55" s="7"/>
      <c r="B55" s="36"/>
      <c r="C55" s="37"/>
      <c r="D55" s="37"/>
      <c r="E55" s="37"/>
      <c r="F55" s="37"/>
      <c r="G55" s="7"/>
      <c r="H55" s="7"/>
      <c r="I55" s="7"/>
      <c r="J55" s="7"/>
      <c r="K55" s="7"/>
      <c r="L55" s="7"/>
      <c r="M55" s="7"/>
      <c r="N55" s="7"/>
      <c r="O55" s="7"/>
      <c r="P55" s="7"/>
      <c r="Q55" s="7"/>
      <c r="R55" s="7"/>
      <c r="S55" s="7"/>
      <c r="T55" s="7"/>
      <c r="U55" s="7"/>
      <c r="V55" s="7"/>
      <c r="W55" s="7"/>
      <c r="X55" s="7"/>
      <c r="Y55" s="7"/>
      <c r="Z55" s="7"/>
    </row>
    <row r="56" spans="1:26" ht="7.5" customHeight="1">
      <c r="A56" s="7"/>
      <c r="B56" s="36"/>
      <c r="C56" s="37"/>
      <c r="D56" s="37"/>
      <c r="E56" s="37"/>
      <c r="F56" s="37"/>
      <c r="G56" s="7"/>
      <c r="H56" s="7"/>
      <c r="I56" s="7"/>
      <c r="J56" s="7"/>
      <c r="K56" s="7"/>
      <c r="L56" s="7"/>
      <c r="M56" s="7"/>
      <c r="N56" s="7"/>
      <c r="O56" s="7"/>
      <c r="P56" s="7"/>
      <c r="Q56" s="7"/>
      <c r="R56" s="7"/>
      <c r="S56" s="7"/>
      <c r="T56" s="7"/>
      <c r="U56" s="7"/>
      <c r="V56" s="7"/>
      <c r="W56" s="7"/>
      <c r="X56" s="7"/>
      <c r="Y56" s="7"/>
      <c r="Z56" s="7"/>
    </row>
    <row r="57" spans="1:26" ht="7.5" customHeight="1">
      <c r="A57" s="7"/>
      <c r="B57" s="36"/>
      <c r="C57" s="37"/>
      <c r="D57" s="37"/>
      <c r="E57" s="37"/>
      <c r="F57" s="37"/>
      <c r="G57" s="7"/>
      <c r="H57" s="7"/>
      <c r="I57" s="7"/>
      <c r="J57" s="7"/>
      <c r="K57" s="7"/>
      <c r="L57" s="7"/>
      <c r="M57" s="7"/>
      <c r="N57" s="7"/>
      <c r="O57" s="7"/>
      <c r="P57" s="7"/>
      <c r="Q57" s="7"/>
      <c r="R57" s="7"/>
      <c r="S57" s="7"/>
      <c r="T57" s="7"/>
      <c r="U57" s="7"/>
      <c r="V57" s="7"/>
      <c r="W57" s="7"/>
      <c r="X57" s="7"/>
      <c r="Y57" s="7"/>
      <c r="Z57" s="7"/>
    </row>
    <row r="58" spans="1:26" ht="7.5" customHeight="1">
      <c r="A58" s="7"/>
      <c r="B58" s="36"/>
      <c r="C58" s="37"/>
      <c r="D58" s="37"/>
      <c r="E58" s="37"/>
      <c r="F58" s="37"/>
      <c r="G58" s="7"/>
      <c r="H58" s="7"/>
      <c r="I58" s="7"/>
      <c r="J58" s="7"/>
      <c r="K58" s="7"/>
      <c r="L58" s="7"/>
      <c r="M58" s="7"/>
      <c r="N58" s="7"/>
      <c r="O58" s="7"/>
      <c r="P58" s="7"/>
      <c r="Q58" s="7"/>
      <c r="R58" s="7"/>
      <c r="S58" s="7"/>
      <c r="T58" s="7"/>
      <c r="U58" s="7"/>
      <c r="V58" s="7"/>
      <c r="W58" s="7"/>
      <c r="X58" s="7"/>
      <c r="Y58" s="7"/>
      <c r="Z58" s="7"/>
    </row>
    <row r="59" spans="1:26" ht="7.5" customHeight="1">
      <c r="A59" s="7"/>
      <c r="B59" s="36"/>
      <c r="C59" s="37"/>
      <c r="D59" s="37"/>
      <c r="E59" s="37"/>
      <c r="F59" s="37"/>
      <c r="G59" s="7"/>
      <c r="H59" s="7"/>
      <c r="I59" s="7"/>
      <c r="J59" s="7"/>
      <c r="K59" s="7"/>
      <c r="L59" s="7"/>
      <c r="M59" s="7"/>
      <c r="N59" s="7"/>
      <c r="O59" s="7"/>
      <c r="P59" s="7"/>
      <c r="Q59" s="7"/>
      <c r="R59" s="7"/>
      <c r="S59" s="7"/>
      <c r="T59" s="7"/>
      <c r="U59" s="7"/>
      <c r="V59" s="7"/>
      <c r="W59" s="7"/>
      <c r="X59" s="7"/>
      <c r="Y59" s="7"/>
      <c r="Z59" s="7"/>
    </row>
    <row r="60" spans="1:26" ht="7.5" customHeight="1">
      <c r="A60" s="7"/>
      <c r="B60" s="36"/>
      <c r="C60" s="37"/>
      <c r="D60" s="37"/>
      <c r="E60" s="37"/>
      <c r="F60" s="37"/>
      <c r="G60" s="7"/>
      <c r="H60" s="7"/>
      <c r="I60" s="7"/>
      <c r="J60" s="7"/>
      <c r="K60" s="7"/>
      <c r="L60" s="7"/>
      <c r="M60" s="7"/>
      <c r="N60" s="7"/>
      <c r="O60" s="7"/>
      <c r="P60" s="7"/>
      <c r="Q60" s="7"/>
      <c r="R60" s="7"/>
      <c r="S60" s="7"/>
      <c r="T60" s="7"/>
      <c r="U60" s="7"/>
      <c r="V60" s="7"/>
      <c r="W60" s="7"/>
      <c r="X60" s="7"/>
      <c r="Y60" s="7"/>
      <c r="Z60" s="7"/>
    </row>
    <row r="61" spans="1:26" ht="7.5" customHeight="1">
      <c r="A61" s="7"/>
      <c r="B61" s="36"/>
      <c r="C61" s="37"/>
      <c r="D61" s="37"/>
      <c r="E61" s="37"/>
      <c r="F61" s="37"/>
      <c r="G61" s="7"/>
      <c r="H61" s="7"/>
      <c r="I61" s="7"/>
      <c r="J61" s="7"/>
      <c r="K61" s="7"/>
      <c r="L61" s="7"/>
      <c r="M61" s="7"/>
      <c r="N61" s="7"/>
      <c r="O61" s="7"/>
      <c r="P61" s="7"/>
      <c r="Q61" s="7"/>
      <c r="R61" s="7"/>
      <c r="S61" s="7"/>
      <c r="T61" s="7"/>
      <c r="U61" s="7"/>
      <c r="V61" s="7"/>
      <c r="W61" s="7"/>
      <c r="X61" s="7"/>
      <c r="Y61" s="7"/>
      <c r="Z61" s="7"/>
    </row>
    <row r="62" spans="1:26" ht="7.5" customHeight="1">
      <c r="A62" s="7"/>
      <c r="B62" s="36"/>
      <c r="C62" s="37"/>
      <c r="D62" s="37"/>
      <c r="E62" s="37"/>
      <c r="F62" s="37"/>
      <c r="G62" s="7"/>
      <c r="H62" s="7"/>
      <c r="I62" s="7"/>
      <c r="J62" s="7"/>
      <c r="K62" s="7"/>
      <c r="L62" s="7"/>
      <c r="M62" s="7"/>
      <c r="N62" s="7"/>
      <c r="O62" s="7"/>
      <c r="P62" s="7"/>
      <c r="Q62" s="7"/>
      <c r="R62" s="7"/>
      <c r="S62" s="7"/>
      <c r="T62" s="7"/>
      <c r="U62" s="7"/>
      <c r="V62" s="7"/>
      <c r="W62" s="7"/>
      <c r="X62" s="7"/>
      <c r="Y62" s="7"/>
      <c r="Z62" s="7"/>
    </row>
    <row r="63" spans="1:26" ht="7.5" customHeight="1">
      <c r="A63" s="7"/>
      <c r="B63" s="36"/>
      <c r="C63" s="37"/>
      <c r="D63" s="37"/>
      <c r="E63" s="37"/>
      <c r="F63" s="37"/>
      <c r="G63" s="7"/>
      <c r="H63" s="7"/>
      <c r="I63" s="7"/>
      <c r="J63" s="7"/>
      <c r="K63" s="7"/>
      <c r="L63" s="7"/>
      <c r="M63" s="7"/>
      <c r="N63" s="7"/>
      <c r="O63" s="7"/>
      <c r="P63" s="7"/>
      <c r="Q63" s="7"/>
      <c r="R63" s="7"/>
      <c r="S63" s="7"/>
      <c r="T63" s="7"/>
      <c r="U63" s="7"/>
      <c r="V63" s="7"/>
      <c r="W63" s="7"/>
      <c r="X63" s="7"/>
      <c r="Y63" s="7"/>
      <c r="Z63" s="7"/>
    </row>
    <row r="64" spans="1:26" ht="7.5" customHeight="1">
      <c r="A64" s="7"/>
      <c r="B64" s="36"/>
      <c r="C64" s="37"/>
      <c r="D64" s="37"/>
      <c r="E64" s="37"/>
      <c r="F64" s="37"/>
      <c r="G64" s="7"/>
      <c r="H64" s="7"/>
      <c r="I64" s="7"/>
      <c r="J64" s="7"/>
      <c r="K64" s="7"/>
      <c r="L64" s="7"/>
      <c r="M64" s="7"/>
      <c r="N64" s="7"/>
      <c r="O64" s="7"/>
      <c r="P64" s="7"/>
      <c r="Q64" s="7"/>
      <c r="R64" s="7"/>
      <c r="S64" s="7"/>
      <c r="T64" s="7"/>
      <c r="U64" s="7"/>
      <c r="V64" s="7"/>
      <c r="W64" s="7"/>
      <c r="X64" s="7"/>
      <c r="Y64" s="7"/>
      <c r="Z64" s="7"/>
    </row>
    <row r="65" spans="1:26" ht="7.5" customHeight="1">
      <c r="A65" s="7"/>
      <c r="B65" s="36"/>
      <c r="C65" s="37"/>
      <c r="D65" s="37"/>
      <c r="E65" s="37"/>
      <c r="F65" s="37"/>
      <c r="G65" s="7"/>
      <c r="H65" s="7"/>
      <c r="I65" s="7"/>
      <c r="J65" s="7"/>
      <c r="K65" s="7"/>
      <c r="L65" s="7"/>
      <c r="M65" s="7"/>
      <c r="N65" s="7"/>
      <c r="O65" s="7"/>
      <c r="P65" s="7"/>
      <c r="Q65" s="7"/>
      <c r="R65" s="7"/>
      <c r="S65" s="7"/>
      <c r="T65" s="7"/>
      <c r="U65" s="7"/>
      <c r="V65" s="7"/>
      <c r="W65" s="7"/>
      <c r="X65" s="7"/>
      <c r="Y65" s="7"/>
      <c r="Z65" s="7"/>
    </row>
    <row r="66" spans="1:26" ht="7.5" customHeight="1">
      <c r="A66" s="7"/>
      <c r="B66" s="36"/>
      <c r="C66" s="37"/>
      <c r="D66" s="37"/>
      <c r="E66" s="37"/>
      <c r="F66" s="37"/>
      <c r="G66" s="7"/>
      <c r="H66" s="7"/>
      <c r="I66" s="7"/>
      <c r="J66" s="7"/>
      <c r="K66" s="7"/>
      <c r="L66" s="7"/>
      <c r="M66" s="7"/>
      <c r="N66" s="7"/>
      <c r="O66" s="7"/>
      <c r="P66" s="7"/>
      <c r="Q66" s="7"/>
      <c r="R66" s="7"/>
      <c r="S66" s="7"/>
      <c r="T66" s="7"/>
      <c r="U66" s="7"/>
      <c r="V66" s="7"/>
      <c r="W66" s="7"/>
      <c r="X66" s="7"/>
      <c r="Y66" s="7"/>
      <c r="Z66" s="7"/>
    </row>
    <row r="67" spans="1:26" ht="7.5" customHeight="1">
      <c r="A67" s="7"/>
      <c r="B67" s="36"/>
      <c r="C67" s="37"/>
      <c r="D67" s="37"/>
      <c r="E67" s="37"/>
      <c r="F67" s="37"/>
      <c r="G67" s="7"/>
      <c r="H67" s="7"/>
      <c r="I67" s="7"/>
      <c r="J67" s="7"/>
      <c r="K67" s="7"/>
      <c r="L67" s="7"/>
      <c r="M67" s="7"/>
      <c r="N67" s="7"/>
      <c r="O67" s="7"/>
      <c r="P67" s="7"/>
      <c r="Q67" s="7"/>
      <c r="R67" s="7"/>
      <c r="S67" s="7"/>
      <c r="T67" s="7"/>
      <c r="U67" s="7"/>
      <c r="V67" s="7"/>
      <c r="W67" s="7"/>
      <c r="X67" s="7"/>
      <c r="Y67" s="7"/>
      <c r="Z67" s="7"/>
    </row>
    <row r="68" spans="1:26" ht="7.5" customHeight="1">
      <c r="A68" s="7"/>
      <c r="B68" s="36"/>
      <c r="C68" s="37"/>
      <c r="D68" s="37"/>
      <c r="E68" s="37"/>
      <c r="F68" s="37"/>
      <c r="G68" s="7"/>
      <c r="H68" s="7"/>
      <c r="I68" s="7"/>
      <c r="J68" s="7"/>
      <c r="K68" s="7"/>
      <c r="L68" s="7"/>
      <c r="M68" s="7"/>
      <c r="N68" s="7"/>
      <c r="O68" s="7"/>
      <c r="P68" s="7"/>
      <c r="Q68" s="7"/>
      <c r="R68" s="7"/>
      <c r="S68" s="7"/>
      <c r="T68" s="7"/>
      <c r="U68" s="7"/>
      <c r="V68" s="7"/>
      <c r="W68" s="7"/>
      <c r="X68" s="7"/>
      <c r="Y68" s="7"/>
      <c r="Z68" s="7"/>
    </row>
    <row r="69" spans="1:26" ht="7.5" customHeight="1">
      <c r="A69" s="7"/>
      <c r="B69" s="36"/>
      <c r="C69" s="37"/>
      <c r="D69" s="37"/>
      <c r="E69" s="37"/>
      <c r="F69" s="37"/>
      <c r="G69" s="7"/>
      <c r="H69" s="7"/>
      <c r="I69" s="7"/>
      <c r="J69" s="7"/>
      <c r="K69" s="7"/>
      <c r="L69" s="7"/>
      <c r="M69" s="7"/>
      <c r="N69" s="7"/>
      <c r="O69" s="7"/>
      <c r="P69" s="7"/>
      <c r="Q69" s="7"/>
      <c r="R69" s="7"/>
      <c r="S69" s="7"/>
      <c r="T69" s="7"/>
      <c r="U69" s="7"/>
      <c r="V69" s="7"/>
      <c r="W69" s="7"/>
      <c r="X69" s="7"/>
      <c r="Y69" s="7"/>
      <c r="Z69" s="7"/>
    </row>
    <row r="70" spans="1:26" ht="7.5" customHeight="1">
      <c r="A70" s="7"/>
      <c r="B70" s="36"/>
      <c r="C70" s="37"/>
      <c r="D70" s="37"/>
      <c r="E70" s="37"/>
      <c r="F70" s="37"/>
      <c r="G70" s="7"/>
      <c r="H70" s="7"/>
      <c r="I70" s="7"/>
      <c r="J70" s="7"/>
      <c r="K70" s="7"/>
      <c r="L70" s="7"/>
      <c r="M70" s="7"/>
      <c r="N70" s="7"/>
      <c r="O70" s="7"/>
      <c r="P70" s="7"/>
      <c r="Q70" s="7"/>
      <c r="R70" s="7"/>
      <c r="S70" s="7"/>
      <c r="T70" s="7"/>
      <c r="U70" s="7"/>
      <c r="V70" s="7"/>
      <c r="W70" s="7"/>
      <c r="X70" s="7"/>
      <c r="Y70" s="7"/>
      <c r="Z70" s="7"/>
    </row>
    <row r="71" spans="1:26" ht="7.5" customHeight="1">
      <c r="A71" s="7"/>
      <c r="B71" s="36"/>
      <c r="C71" s="37"/>
      <c r="D71" s="37"/>
      <c r="E71" s="37"/>
      <c r="F71" s="37"/>
      <c r="G71" s="7"/>
      <c r="H71" s="7"/>
      <c r="I71" s="7"/>
      <c r="J71" s="7"/>
      <c r="K71" s="7"/>
      <c r="L71" s="7"/>
      <c r="M71" s="7"/>
      <c r="N71" s="7"/>
      <c r="O71" s="7"/>
      <c r="P71" s="7"/>
      <c r="Q71" s="7"/>
      <c r="R71" s="7"/>
      <c r="S71" s="7"/>
      <c r="T71" s="7"/>
      <c r="U71" s="7"/>
      <c r="V71" s="7"/>
      <c r="W71" s="7"/>
      <c r="X71" s="7"/>
      <c r="Y71" s="7"/>
      <c r="Z71" s="7"/>
    </row>
    <row r="72" spans="1:26" ht="7.5" customHeight="1">
      <c r="A72" s="7"/>
      <c r="B72" s="36"/>
      <c r="C72" s="37"/>
      <c r="D72" s="37"/>
      <c r="E72" s="37"/>
      <c r="F72" s="37"/>
      <c r="G72" s="7"/>
      <c r="H72" s="7"/>
      <c r="I72" s="7"/>
      <c r="J72" s="7"/>
      <c r="K72" s="7"/>
      <c r="L72" s="7"/>
      <c r="M72" s="7"/>
      <c r="N72" s="7"/>
      <c r="O72" s="7"/>
      <c r="P72" s="7"/>
      <c r="Q72" s="7"/>
      <c r="R72" s="7"/>
      <c r="S72" s="7"/>
      <c r="T72" s="7"/>
      <c r="U72" s="7"/>
      <c r="V72" s="7"/>
      <c r="W72" s="7"/>
      <c r="X72" s="7"/>
      <c r="Y72" s="7"/>
      <c r="Z72" s="7"/>
    </row>
    <row r="73" spans="1:26" ht="7.5" customHeight="1">
      <c r="A73" s="7"/>
      <c r="B73" s="36"/>
      <c r="C73" s="37"/>
      <c r="D73" s="37"/>
      <c r="E73" s="37"/>
      <c r="F73" s="37"/>
      <c r="G73" s="7"/>
      <c r="H73" s="7"/>
      <c r="I73" s="7"/>
      <c r="J73" s="7"/>
      <c r="K73" s="7"/>
      <c r="L73" s="7"/>
      <c r="M73" s="7"/>
      <c r="N73" s="7"/>
      <c r="O73" s="7"/>
      <c r="P73" s="7"/>
      <c r="Q73" s="7"/>
      <c r="R73" s="7"/>
      <c r="S73" s="7"/>
      <c r="T73" s="7"/>
      <c r="U73" s="7"/>
      <c r="V73" s="7"/>
      <c r="W73" s="7"/>
      <c r="X73" s="7"/>
      <c r="Y73" s="7"/>
      <c r="Z73" s="7"/>
    </row>
    <row r="74" spans="1:26" ht="7.5" customHeight="1">
      <c r="A74" s="7"/>
      <c r="B74" s="36"/>
      <c r="C74" s="37"/>
      <c r="D74" s="37"/>
      <c r="E74" s="37"/>
      <c r="F74" s="37"/>
      <c r="G74" s="7"/>
      <c r="H74" s="7"/>
      <c r="I74" s="7"/>
      <c r="J74" s="7"/>
      <c r="K74" s="7"/>
      <c r="L74" s="7"/>
      <c r="M74" s="7"/>
      <c r="N74" s="7"/>
      <c r="O74" s="7"/>
      <c r="P74" s="7"/>
      <c r="Q74" s="7"/>
      <c r="R74" s="7"/>
      <c r="S74" s="7"/>
      <c r="T74" s="7"/>
      <c r="U74" s="7"/>
      <c r="V74" s="7"/>
      <c r="W74" s="7"/>
      <c r="X74" s="7"/>
      <c r="Y74" s="7"/>
      <c r="Z74" s="7"/>
    </row>
    <row r="75" spans="1:26" ht="7.5" customHeight="1">
      <c r="A75" s="7"/>
      <c r="B75" s="36"/>
      <c r="C75" s="37"/>
      <c r="D75" s="37"/>
      <c r="E75" s="37"/>
      <c r="F75" s="37"/>
      <c r="G75" s="7"/>
      <c r="H75" s="7"/>
      <c r="I75" s="7"/>
      <c r="J75" s="7"/>
      <c r="K75" s="7"/>
      <c r="L75" s="7"/>
      <c r="M75" s="7"/>
      <c r="N75" s="7"/>
      <c r="O75" s="7"/>
      <c r="P75" s="7"/>
      <c r="Q75" s="7"/>
      <c r="R75" s="7"/>
      <c r="S75" s="7"/>
      <c r="T75" s="7"/>
      <c r="U75" s="7"/>
      <c r="V75" s="7"/>
      <c r="W75" s="7"/>
      <c r="X75" s="7"/>
      <c r="Y75" s="7"/>
      <c r="Z75" s="7"/>
    </row>
    <row r="76" spans="1:26" ht="7.5" customHeight="1">
      <c r="A76" s="7"/>
      <c r="B76" s="36"/>
      <c r="C76" s="37"/>
      <c r="D76" s="37"/>
      <c r="E76" s="37"/>
      <c r="F76" s="37"/>
      <c r="G76" s="7"/>
      <c r="H76" s="7"/>
      <c r="I76" s="7"/>
      <c r="J76" s="7"/>
      <c r="K76" s="7"/>
      <c r="L76" s="7"/>
      <c r="M76" s="7"/>
      <c r="N76" s="7"/>
      <c r="O76" s="7"/>
      <c r="P76" s="7"/>
      <c r="Q76" s="7"/>
      <c r="R76" s="7"/>
      <c r="S76" s="7"/>
      <c r="T76" s="7"/>
      <c r="U76" s="7"/>
      <c r="V76" s="7"/>
      <c r="W76" s="7"/>
      <c r="X76" s="7"/>
      <c r="Y76" s="7"/>
      <c r="Z76" s="7"/>
    </row>
    <row r="77" spans="1:26" ht="7.5" customHeight="1">
      <c r="A77" s="7"/>
      <c r="B77" s="36"/>
      <c r="C77" s="37"/>
      <c r="D77" s="37"/>
      <c r="E77" s="37"/>
      <c r="F77" s="37"/>
      <c r="G77" s="7"/>
      <c r="H77" s="7"/>
      <c r="I77" s="7"/>
      <c r="J77" s="7"/>
      <c r="K77" s="7"/>
      <c r="L77" s="7"/>
      <c r="M77" s="7"/>
      <c r="N77" s="7"/>
      <c r="O77" s="7"/>
      <c r="P77" s="7"/>
      <c r="Q77" s="7"/>
      <c r="R77" s="7"/>
      <c r="S77" s="7"/>
      <c r="T77" s="7"/>
      <c r="U77" s="7"/>
      <c r="V77" s="7"/>
      <c r="W77" s="7"/>
      <c r="X77" s="7"/>
      <c r="Y77" s="7"/>
      <c r="Z77" s="7"/>
    </row>
    <row r="78" spans="1:26" ht="7.5" customHeight="1">
      <c r="A78" s="7"/>
      <c r="B78" s="36"/>
      <c r="C78" s="37"/>
      <c r="D78" s="37"/>
      <c r="E78" s="37"/>
      <c r="F78" s="37"/>
      <c r="G78" s="7"/>
      <c r="H78" s="7"/>
      <c r="I78" s="7"/>
      <c r="J78" s="7"/>
      <c r="K78" s="7"/>
      <c r="L78" s="7"/>
      <c r="M78" s="7"/>
      <c r="N78" s="7"/>
      <c r="O78" s="7"/>
      <c r="P78" s="7"/>
      <c r="Q78" s="7"/>
      <c r="R78" s="7"/>
      <c r="S78" s="7"/>
      <c r="T78" s="7"/>
      <c r="U78" s="7"/>
      <c r="V78" s="7"/>
      <c r="W78" s="7"/>
      <c r="X78" s="7"/>
      <c r="Y78" s="7"/>
      <c r="Z78" s="7"/>
    </row>
    <row r="79" spans="1:26" ht="7.5" customHeight="1">
      <c r="A79" s="7"/>
      <c r="B79" s="36"/>
      <c r="C79" s="37"/>
      <c r="D79" s="37"/>
      <c r="E79" s="37"/>
      <c r="F79" s="37"/>
      <c r="G79" s="7"/>
      <c r="H79" s="7"/>
      <c r="I79" s="7"/>
      <c r="J79" s="7"/>
      <c r="K79" s="7"/>
      <c r="L79" s="7"/>
      <c r="M79" s="7"/>
      <c r="N79" s="7"/>
      <c r="O79" s="7"/>
      <c r="P79" s="7"/>
      <c r="Q79" s="7"/>
      <c r="R79" s="7"/>
      <c r="S79" s="7"/>
      <c r="T79" s="7"/>
      <c r="U79" s="7"/>
      <c r="V79" s="7"/>
      <c r="W79" s="7"/>
      <c r="X79" s="7"/>
      <c r="Y79" s="7"/>
      <c r="Z79" s="7"/>
    </row>
    <row r="80" spans="1:26" ht="7.5" customHeight="1">
      <c r="A80" s="7"/>
      <c r="B80" s="36"/>
      <c r="C80" s="37"/>
      <c r="D80" s="37"/>
      <c r="E80" s="37"/>
      <c r="F80" s="37"/>
      <c r="G80" s="7"/>
      <c r="H80" s="7"/>
      <c r="I80" s="7"/>
      <c r="J80" s="7"/>
      <c r="K80" s="7"/>
      <c r="L80" s="7"/>
      <c r="M80" s="7"/>
      <c r="N80" s="7"/>
      <c r="O80" s="7"/>
      <c r="P80" s="7"/>
      <c r="Q80" s="7"/>
      <c r="R80" s="7"/>
      <c r="S80" s="7"/>
      <c r="T80" s="7"/>
      <c r="U80" s="7"/>
      <c r="V80" s="7"/>
      <c r="W80" s="7"/>
      <c r="X80" s="7"/>
      <c r="Y80" s="7"/>
      <c r="Z80" s="7"/>
    </row>
    <row r="81" spans="1:26" ht="7.5" customHeight="1">
      <c r="A81" s="7"/>
      <c r="B81" s="36"/>
      <c r="C81" s="37"/>
      <c r="D81" s="37"/>
      <c r="E81" s="37"/>
      <c r="F81" s="37"/>
      <c r="G81" s="7"/>
      <c r="H81" s="7"/>
      <c r="I81" s="7"/>
      <c r="J81" s="7"/>
      <c r="K81" s="7"/>
      <c r="L81" s="7"/>
      <c r="M81" s="7"/>
      <c r="N81" s="7"/>
      <c r="O81" s="7"/>
      <c r="P81" s="7"/>
      <c r="Q81" s="7"/>
      <c r="R81" s="7"/>
      <c r="S81" s="7"/>
      <c r="T81" s="7"/>
      <c r="U81" s="7"/>
      <c r="V81" s="7"/>
      <c r="W81" s="7"/>
      <c r="X81" s="7"/>
      <c r="Y81" s="7"/>
      <c r="Z81" s="7"/>
    </row>
    <row r="82" spans="1:26" ht="7.5" customHeight="1">
      <c r="A82" s="7"/>
      <c r="B82" s="36"/>
      <c r="C82" s="37"/>
      <c r="D82" s="37"/>
      <c r="E82" s="37"/>
      <c r="F82" s="37"/>
      <c r="G82" s="7"/>
      <c r="H82" s="7"/>
      <c r="I82" s="7"/>
      <c r="J82" s="7"/>
      <c r="K82" s="7"/>
      <c r="L82" s="7"/>
      <c r="M82" s="7"/>
      <c r="N82" s="7"/>
      <c r="O82" s="7"/>
      <c r="P82" s="7"/>
      <c r="Q82" s="7"/>
      <c r="R82" s="7"/>
      <c r="S82" s="7"/>
      <c r="T82" s="7"/>
      <c r="U82" s="7"/>
      <c r="V82" s="7"/>
      <c r="W82" s="7"/>
      <c r="X82" s="7"/>
      <c r="Y82" s="7"/>
      <c r="Z82" s="7"/>
    </row>
    <row r="83" spans="1:26" ht="7.5" customHeight="1">
      <c r="A83" s="7"/>
      <c r="B83" s="36"/>
      <c r="C83" s="37"/>
      <c r="D83" s="37"/>
      <c r="E83" s="37"/>
      <c r="F83" s="37"/>
      <c r="G83" s="7"/>
      <c r="H83" s="7"/>
      <c r="I83" s="7"/>
      <c r="J83" s="7"/>
      <c r="K83" s="7"/>
      <c r="L83" s="7"/>
      <c r="M83" s="7"/>
      <c r="N83" s="7"/>
      <c r="O83" s="7"/>
      <c r="P83" s="7"/>
      <c r="Q83" s="7"/>
      <c r="R83" s="7"/>
      <c r="S83" s="7"/>
      <c r="T83" s="7"/>
      <c r="U83" s="7"/>
      <c r="V83" s="7"/>
      <c r="W83" s="7"/>
      <c r="X83" s="7"/>
      <c r="Y83" s="7"/>
      <c r="Z83" s="7"/>
    </row>
    <row r="84" spans="1:26" ht="7.5" customHeight="1">
      <c r="A84" s="7"/>
      <c r="B84" s="36"/>
      <c r="C84" s="37"/>
      <c r="D84" s="37"/>
      <c r="E84" s="37"/>
      <c r="F84" s="37"/>
      <c r="G84" s="7"/>
      <c r="H84" s="7"/>
      <c r="I84" s="7"/>
      <c r="J84" s="7"/>
      <c r="K84" s="7"/>
      <c r="L84" s="7"/>
      <c r="M84" s="7"/>
      <c r="N84" s="7"/>
      <c r="O84" s="7"/>
      <c r="P84" s="7"/>
      <c r="Q84" s="7"/>
      <c r="R84" s="7"/>
      <c r="S84" s="7"/>
      <c r="T84" s="7"/>
      <c r="U84" s="7"/>
      <c r="V84" s="7"/>
      <c r="W84" s="7"/>
      <c r="X84" s="7"/>
      <c r="Y84" s="7"/>
      <c r="Z84" s="7"/>
    </row>
    <row r="85" spans="1:26" ht="7.5" customHeight="1">
      <c r="A85" s="7"/>
      <c r="B85" s="36"/>
      <c r="C85" s="37"/>
      <c r="D85" s="37"/>
      <c r="E85" s="37"/>
      <c r="F85" s="37"/>
      <c r="G85" s="7"/>
      <c r="H85" s="7"/>
      <c r="I85" s="7"/>
      <c r="J85" s="7"/>
      <c r="K85" s="7"/>
      <c r="L85" s="7"/>
      <c r="M85" s="7"/>
      <c r="N85" s="7"/>
      <c r="O85" s="7"/>
      <c r="P85" s="7"/>
      <c r="Q85" s="7"/>
      <c r="R85" s="7"/>
      <c r="S85" s="7"/>
      <c r="T85" s="7"/>
      <c r="U85" s="7"/>
      <c r="V85" s="7"/>
      <c r="W85" s="7"/>
      <c r="X85" s="7"/>
      <c r="Y85" s="7"/>
      <c r="Z85" s="7"/>
    </row>
    <row r="86" spans="1:26" ht="7.5" customHeight="1">
      <c r="A86" s="7"/>
      <c r="B86" s="36"/>
      <c r="C86" s="37"/>
      <c r="D86" s="37"/>
      <c r="E86" s="37"/>
      <c r="F86" s="37"/>
      <c r="G86" s="7"/>
      <c r="H86" s="7"/>
      <c r="I86" s="7"/>
      <c r="J86" s="7"/>
      <c r="K86" s="7"/>
      <c r="L86" s="7"/>
      <c r="M86" s="7"/>
      <c r="N86" s="7"/>
      <c r="O86" s="7"/>
      <c r="P86" s="7"/>
      <c r="Q86" s="7"/>
      <c r="R86" s="7"/>
      <c r="S86" s="7"/>
      <c r="T86" s="7"/>
      <c r="U86" s="7"/>
      <c r="V86" s="7"/>
      <c r="W86" s="7"/>
      <c r="X86" s="7"/>
      <c r="Y86" s="7"/>
      <c r="Z86" s="7"/>
    </row>
    <row r="87" spans="1:26" ht="7.5" customHeight="1">
      <c r="A87" s="7"/>
      <c r="B87" s="36"/>
      <c r="C87" s="37"/>
      <c r="D87" s="37"/>
      <c r="E87" s="37"/>
      <c r="F87" s="37"/>
      <c r="G87" s="7"/>
      <c r="H87" s="7"/>
      <c r="I87" s="7"/>
      <c r="J87" s="7"/>
      <c r="K87" s="7"/>
      <c r="L87" s="7"/>
      <c r="M87" s="7"/>
      <c r="N87" s="7"/>
      <c r="O87" s="7"/>
      <c r="P87" s="7"/>
      <c r="Q87" s="7"/>
      <c r="R87" s="7"/>
      <c r="S87" s="7"/>
      <c r="T87" s="7"/>
      <c r="U87" s="7"/>
      <c r="V87" s="7"/>
      <c r="W87" s="7"/>
      <c r="X87" s="7"/>
      <c r="Y87" s="7"/>
      <c r="Z87" s="7"/>
    </row>
    <row r="88" spans="1:26" ht="7.5" customHeight="1">
      <c r="A88" s="7"/>
      <c r="B88" s="36"/>
      <c r="C88" s="37"/>
      <c r="D88" s="37"/>
      <c r="E88" s="37"/>
      <c r="F88" s="37"/>
      <c r="G88" s="7"/>
      <c r="H88" s="7"/>
      <c r="I88" s="7"/>
      <c r="J88" s="7"/>
      <c r="K88" s="7"/>
      <c r="L88" s="7"/>
      <c r="M88" s="7"/>
      <c r="N88" s="7"/>
      <c r="O88" s="7"/>
      <c r="P88" s="7"/>
      <c r="Q88" s="7"/>
      <c r="R88" s="7"/>
      <c r="S88" s="7"/>
      <c r="T88" s="7"/>
      <c r="U88" s="7"/>
      <c r="V88" s="7"/>
      <c r="W88" s="7"/>
      <c r="X88" s="7"/>
      <c r="Y88" s="7"/>
      <c r="Z88" s="7"/>
    </row>
    <row r="89" spans="1:26" ht="7.5" customHeight="1">
      <c r="A89" s="7"/>
      <c r="B89" s="36"/>
      <c r="C89" s="37"/>
      <c r="D89" s="37"/>
      <c r="E89" s="37"/>
      <c r="F89" s="37"/>
      <c r="G89" s="7"/>
      <c r="H89" s="7"/>
      <c r="I89" s="7"/>
      <c r="J89" s="7"/>
      <c r="K89" s="7"/>
      <c r="L89" s="7"/>
      <c r="M89" s="7"/>
      <c r="N89" s="7"/>
      <c r="O89" s="7"/>
      <c r="P89" s="7"/>
      <c r="Q89" s="7"/>
      <c r="R89" s="7"/>
      <c r="S89" s="7"/>
      <c r="T89" s="7"/>
      <c r="U89" s="7"/>
      <c r="V89" s="7"/>
      <c r="W89" s="7"/>
      <c r="X89" s="7"/>
      <c r="Y89" s="7"/>
      <c r="Z89" s="7"/>
    </row>
    <row r="90" spans="1:26" ht="7.5" customHeight="1">
      <c r="A90" s="7"/>
      <c r="B90" s="36"/>
      <c r="C90" s="37"/>
      <c r="D90" s="37"/>
      <c r="E90" s="37"/>
      <c r="F90" s="37"/>
      <c r="G90" s="7"/>
      <c r="H90" s="7"/>
      <c r="I90" s="7"/>
      <c r="J90" s="7"/>
      <c r="K90" s="7"/>
      <c r="L90" s="7"/>
      <c r="M90" s="7"/>
      <c r="N90" s="7"/>
      <c r="O90" s="7"/>
      <c r="P90" s="7"/>
      <c r="Q90" s="7"/>
      <c r="R90" s="7"/>
      <c r="S90" s="7"/>
      <c r="T90" s="7"/>
      <c r="U90" s="7"/>
      <c r="V90" s="7"/>
      <c r="W90" s="7"/>
      <c r="X90" s="7"/>
      <c r="Y90" s="7"/>
      <c r="Z90" s="7"/>
    </row>
    <row r="91" spans="1:26" ht="7.5" customHeight="1">
      <c r="A91" s="7"/>
      <c r="B91" s="36"/>
      <c r="C91" s="37"/>
      <c r="D91" s="37"/>
      <c r="E91" s="37"/>
      <c r="F91" s="37"/>
      <c r="G91" s="7"/>
      <c r="H91" s="7"/>
      <c r="I91" s="7"/>
      <c r="J91" s="7"/>
      <c r="K91" s="7"/>
      <c r="L91" s="7"/>
      <c r="M91" s="7"/>
      <c r="N91" s="7"/>
      <c r="O91" s="7"/>
      <c r="P91" s="7"/>
      <c r="Q91" s="7"/>
      <c r="R91" s="7"/>
      <c r="S91" s="7"/>
      <c r="T91" s="7"/>
      <c r="U91" s="7"/>
      <c r="V91" s="7"/>
      <c r="W91" s="7"/>
      <c r="X91" s="7"/>
      <c r="Y91" s="7"/>
      <c r="Z91" s="7"/>
    </row>
    <row r="92" spans="1:26" ht="7.5" customHeight="1">
      <c r="A92" s="7"/>
      <c r="B92" s="36"/>
      <c r="C92" s="37"/>
      <c r="D92" s="37"/>
      <c r="E92" s="37"/>
      <c r="F92" s="37"/>
      <c r="G92" s="7"/>
      <c r="H92" s="7"/>
      <c r="I92" s="7"/>
      <c r="J92" s="7"/>
      <c r="K92" s="7"/>
      <c r="L92" s="7"/>
      <c r="M92" s="7"/>
      <c r="N92" s="7"/>
      <c r="O92" s="7"/>
      <c r="P92" s="7"/>
      <c r="Q92" s="7"/>
      <c r="R92" s="7"/>
      <c r="S92" s="7"/>
      <c r="T92" s="7"/>
      <c r="U92" s="7"/>
      <c r="V92" s="7"/>
      <c r="W92" s="7"/>
      <c r="X92" s="7"/>
      <c r="Y92" s="7"/>
      <c r="Z92" s="7"/>
    </row>
    <row r="93" spans="1:26" ht="7.5" customHeight="1">
      <c r="A93" s="7"/>
      <c r="B93" s="36"/>
      <c r="C93" s="37"/>
      <c r="D93" s="37"/>
      <c r="E93" s="37"/>
      <c r="F93" s="37"/>
      <c r="G93" s="7"/>
      <c r="H93" s="7"/>
      <c r="I93" s="7"/>
      <c r="J93" s="7"/>
      <c r="K93" s="7"/>
      <c r="L93" s="7"/>
      <c r="M93" s="7"/>
      <c r="N93" s="7"/>
      <c r="O93" s="7"/>
      <c r="P93" s="7"/>
      <c r="Q93" s="7"/>
      <c r="R93" s="7"/>
      <c r="S93" s="7"/>
      <c r="T93" s="7"/>
      <c r="U93" s="7"/>
      <c r="V93" s="7"/>
      <c r="W93" s="7"/>
      <c r="X93" s="7"/>
      <c r="Y93" s="7"/>
      <c r="Z93" s="7"/>
    </row>
    <row r="94" spans="1:26" ht="7.5" customHeight="1">
      <c r="A94" s="7"/>
      <c r="B94" s="36"/>
      <c r="C94" s="37"/>
      <c r="D94" s="37"/>
      <c r="E94" s="37"/>
      <c r="F94" s="37"/>
      <c r="G94" s="7"/>
      <c r="H94" s="7"/>
      <c r="I94" s="7"/>
      <c r="J94" s="7"/>
      <c r="K94" s="7"/>
      <c r="L94" s="7"/>
      <c r="M94" s="7"/>
      <c r="N94" s="7"/>
      <c r="O94" s="7"/>
      <c r="P94" s="7"/>
      <c r="Q94" s="7"/>
      <c r="R94" s="7"/>
      <c r="S94" s="7"/>
      <c r="T94" s="7"/>
      <c r="U94" s="7"/>
      <c r="V94" s="7"/>
      <c r="W94" s="7"/>
      <c r="X94" s="7"/>
      <c r="Y94" s="7"/>
      <c r="Z94" s="7"/>
    </row>
    <row r="95" spans="1:26" ht="7.5" customHeight="1">
      <c r="A95" s="7"/>
      <c r="B95" s="36"/>
      <c r="C95" s="37"/>
      <c r="D95" s="37"/>
      <c r="E95" s="37"/>
      <c r="F95" s="37"/>
      <c r="G95" s="7"/>
      <c r="H95" s="7"/>
      <c r="I95" s="7"/>
      <c r="J95" s="7"/>
      <c r="K95" s="7"/>
      <c r="L95" s="7"/>
      <c r="M95" s="7"/>
      <c r="N95" s="7"/>
      <c r="O95" s="7"/>
      <c r="P95" s="7"/>
      <c r="Q95" s="7"/>
      <c r="R95" s="7"/>
      <c r="S95" s="7"/>
      <c r="T95" s="7"/>
      <c r="U95" s="7"/>
      <c r="V95" s="7"/>
      <c r="W95" s="7"/>
      <c r="X95" s="7"/>
      <c r="Y95" s="7"/>
      <c r="Z95" s="7"/>
    </row>
    <row r="96" spans="1:26" ht="7.5" customHeight="1">
      <c r="A96" s="7"/>
      <c r="B96" s="36"/>
      <c r="C96" s="37"/>
      <c r="D96" s="37"/>
      <c r="E96" s="37"/>
      <c r="F96" s="37"/>
      <c r="G96" s="7"/>
      <c r="H96" s="7"/>
      <c r="I96" s="7"/>
      <c r="J96" s="7"/>
      <c r="K96" s="7"/>
      <c r="L96" s="7"/>
      <c r="M96" s="7"/>
      <c r="N96" s="7"/>
      <c r="O96" s="7"/>
      <c r="P96" s="7"/>
      <c r="Q96" s="7"/>
      <c r="R96" s="7"/>
      <c r="S96" s="7"/>
      <c r="T96" s="7"/>
      <c r="U96" s="7"/>
      <c r="V96" s="7"/>
      <c r="W96" s="7"/>
      <c r="X96" s="7"/>
      <c r="Y96" s="7"/>
      <c r="Z96" s="7"/>
    </row>
    <row r="97" spans="1:26" ht="7.5" customHeight="1">
      <c r="A97" s="7"/>
      <c r="B97" s="36"/>
      <c r="C97" s="37"/>
      <c r="D97" s="37"/>
      <c r="E97" s="37"/>
      <c r="F97" s="37"/>
      <c r="G97" s="7"/>
      <c r="H97" s="7"/>
      <c r="I97" s="7"/>
      <c r="J97" s="7"/>
      <c r="K97" s="7"/>
      <c r="L97" s="7"/>
      <c r="M97" s="7"/>
      <c r="N97" s="7"/>
      <c r="O97" s="7"/>
      <c r="P97" s="7"/>
      <c r="Q97" s="7"/>
      <c r="R97" s="7"/>
      <c r="S97" s="7"/>
      <c r="T97" s="7"/>
      <c r="U97" s="7"/>
      <c r="V97" s="7"/>
      <c r="W97" s="7"/>
      <c r="X97" s="7"/>
      <c r="Y97" s="7"/>
      <c r="Z97" s="7"/>
    </row>
    <row r="98" spans="1:26" ht="7.5" customHeight="1">
      <c r="A98" s="7"/>
      <c r="B98" s="36"/>
      <c r="C98" s="37"/>
      <c r="D98" s="37"/>
      <c r="E98" s="37"/>
      <c r="F98" s="37"/>
      <c r="G98" s="7"/>
      <c r="H98" s="7"/>
      <c r="I98" s="7"/>
      <c r="J98" s="7"/>
      <c r="K98" s="7"/>
      <c r="L98" s="7"/>
      <c r="M98" s="7"/>
      <c r="N98" s="7"/>
      <c r="O98" s="7"/>
      <c r="P98" s="7"/>
      <c r="Q98" s="7"/>
      <c r="R98" s="7"/>
      <c r="S98" s="7"/>
      <c r="T98" s="7"/>
      <c r="U98" s="7"/>
      <c r="V98" s="7"/>
      <c r="W98" s="7"/>
      <c r="X98" s="7"/>
      <c r="Y98" s="7"/>
      <c r="Z98" s="7"/>
    </row>
    <row r="99" spans="1:26" ht="7.5" customHeight="1">
      <c r="A99" s="7"/>
      <c r="B99" s="36"/>
      <c r="C99" s="37"/>
      <c r="D99" s="37"/>
      <c r="E99" s="37"/>
      <c r="F99" s="37"/>
      <c r="G99" s="7"/>
      <c r="H99" s="7"/>
      <c r="I99" s="7"/>
      <c r="J99" s="7"/>
      <c r="K99" s="7"/>
      <c r="L99" s="7"/>
      <c r="M99" s="7"/>
      <c r="N99" s="7"/>
      <c r="O99" s="7"/>
      <c r="P99" s="7"/>
      <c r="Q99" s="7"/>
      <c r="R99" s="7"/>
      <c r="S99" s="7"/>
      <c r="T99" s="7"/>
      <c r="U99" s="7"/>
      <c r="V99" s="7"/>
      <c r="W99" s="7"/>
      <c r="X99" s="7"/>
      <c r="Y99" s="7"/>
      <c r="Z99" s="7"/>
    </row>
    <row r="100" spans="1:26" ht="7.5" customHeight="1">
      <c r="A100" s="7"/>
      <c r="B100" s="36"/>
      <c r="C100" s="37"/>
      <c r="D100" s="37"/>
      <c r="E100" s="37"/>
      <c r="F100" s="37"/>
      <c r="G100" s="7"/>
      <c r="H100" s="7"/>
      <c r="I100" s="7"/>
      <c r="J100" s="7"/>
      <c r="K100" s="7"/>
      <c r="L100" s="7"/>
      <c r="M100" s="7"/>
      <c r="N100" s="7"/>
      <c r="O100" s="7"/>
      <c r="P100" s="7"/>
      <c r="Q100" s="7"/>
      <c r="R100" s="7"/>
      <c r="S100" s="7"/>
      <c r="T100" s="7"/>
      <c r="U100" s="7"/>
      <c r="V100" s="7"/>
      <c r="W100" s="7"/>
      <c r="X100" s="7"/>
      <c r="Y100" s="7"/>
      <c r="Z100" s="7"/>
    </row>
    <row r="101" spans="1:26" ht="7.5" customHeight="1">
      <c r="A101" s="7"/>
      <c r="B101" s="36"/>
      <c r="C101" s="37"/>
      <c r="D101" s="37"/>
      <c r="E101" s="37"/>
      <c r="F101" s="37"/>
      <c r="G101" s="7"/>
      <c r="H101" s="7"/>
      <c r="I101" s="7"/>
      <c r="J101" s="7"/>
      <c r="K101" s="7"/>
      <c r="L101" s="7"/>
      <c r="M101" s="7"/>
      <c r="N101" s="7"/>
      <c r="O101" s="7"/>
      <c r="P101" s="7"/>
      <c r="Q101" s="7"/>
      <c r="R101" s="7"/>
      <c r="S101" s="7"/>
      <c r="T101" s="7"/>
      <c r="U101" s="7"/>
      <c r="V101" s="7"/>
      <c r="W101" s="7"/>
      <c r="X101" s="7"/>
      <c r="Y101" s="7"/>
      <c r="Z101" s="7"/>
    </row>
    <row r="102" spans="1:26" ht="7.5" customHeight="1">
      <c r="A102" s="7"/>
      <c r="B102" s="36"/>
      <c r="C102" s="37"/>
      <c r="D102" s="37"/>
      <c r="E102" s="37"/>
      <c r="F102" s="37"/>
      <c r="G102" s="7"/>
      <c r="H102" s="7"/>
      <c r="I102" s="7"/>
      <c r="J102" s="7"/>
      <c r="K102" s="7"/>
      <c r="L102" s="7"/>
      <c r="M102" s="7"/>
      <c r="N102" s="7"/>
      <c r="O102" s="7"/>
      <c r="P102" s="7"/>
      <c r="Q102" s="7"/>
      <c r="R102" s="7"/>
      <c r="S102" s="7"/>
      <c r="T102" s="7"/>
      <c r="U102" s="7"/>
      <c r="V102" s="7"/>
      <c r="W102" s="7"/>
      <c r="X102" s="7"/>
      <c r="Y102" s="7"/>
      <c r="Z102" s="7"/>
    </row>
    <row r="103" spans="1:26" ht="7.5" customHeight="1">
      <c r="A103" s="7"/>
      <c r="B103" s="36"/>
      <c r="C103" s="37"/>
      <c r="D103" s="37"/>
      <c r="E103" s="37"/>
      <c r="F103" s="37"/>
      <c r="G103" s="7"/>
      <c r="H103" s="7"/>
      <c r="I103" s="7"/>
      <c r="J103" s="7"/>
      <c r="K103" s="7"/>
      <c r="L103" s="7"/>
      <c r="M103" s="7"/>
      <c r="N103" s="7"/>
      <c r="O103" s="7"/>
      <c r="P103" s="7"/>
      <c r="Q103" s="7"/>
      <c r="R103" s="7"/>
      <c r="S103" s="7"/>
      <c r="T103" s="7"/>
      <c r="U103" s="7"/>
      <c r="V103" s="7"/>
      <c r="W103" s="7"/>
      <c r="X103" s="7"/>
      <c r="Y103" s="7"/>
      <c r="Z103" s="7"/>
    </row>
    <row r="104" spans="1:26" ht="7.5" customHeight="1">
      <c r="A104" s="7"/>
      <c r="B104" s="36"/>
      <c r="C104" s="37"/>
      <c r="D104" s="37"/>
      <c r="E104" s="37"/>
      <c r="F104" s="37"/>
      <c r="G104" s="7"/>
      <c r="H104" s="7"/>
      <c r="I104" s="7"/>
      <c r="J104" s="7"/>
      <c r="K104" s="7"/>
      <c r="L104" s="7"/>
      <c r="M104" s="7"/>
      <c r="N104" s="7"/>
      <c r="O104" s="7"/>
      <c r="P104" s="7"/>
      <c r="Q104" s="7"/>
      <c r="R104" s="7"/>
      <c r="S104" s="7"/>
      <c r="T104" s="7"/>
      <c r="U104" s="7"/>
      <c r="V104" s="7"/>
      <c r="W104" s="7"/>
      <c r="X104" s="7"/>
      <c r="Y104" s="7"/>
      <c r="Z104" s="7"/>
    </row>
    <row r="105" spans="1:26" ht="7.5" customHeight="1">
      <c r="A105" s="7"/>
      <c r="B105" s="36"/>
      <c r="C105" s="37"/>
      <c r="D105" s="37"/>
      <c r="E105" s="37"/>
      <c r="F105" s="37"/>
      <c r="G105" s="7"/>
      <c r="H105" s="7"/>
      <c r="I105" s="7"/>
      <c r="J105" s="7"/>
      <c r="K105" s="7"/>
      <c r="L105" s="7"/>
      <c r="M105" s="7"/>
      <c r="N105" s="7"/>
      <c r="O105" s="7"/>
      <c r="P105" s="7"/>
      <c r="Q105" s="7"/>
      <c r="R105" s="7"/>
      <c r="S105" s="7"/>
      <c r="T105" s="7"/>
      <c r="U105" s="7"/>
      <c r="V105" s="7"/>
      <c r="W105" s="7"/>
      <c r="X105" s="7"/>
      <c r="Y105" s="7"/>
      <c r="Z105" s="7"/>
    </row>
    <row r="106" spans="1:26" ht="7.5" customHeight="1">
      <c r="A106" s="7"/>
      <c r="B106" s="36"/>
      <c r="C106" s="37"/>
      <c r="D106" s="37"/>
      <c r="E106" s="37"/>
      <c r="F106" s="37"/>
      <c r="G106" s="7"/>
      <c r="H106" s="7"/>
      <c r="I106" s="7"/>
      <c r="J106" s="7"/>
      <c r="K106" s="7"/>
      <c r="L106" s="7"/>
      <c r="M106" s="7"/>
      <c r="N106" s="7"/>
      <c r="O106" s="7"/>
      <c r="P106" s="7"/>
      <c r="Q106" s="7"/>
      <c r="R106" s="7"/>
      <c r="S106" s="7"/>
      <c r="T106" s="7"/>
      <c r="U106" s="7"/>
      <c r="V106" s="7"/>
      <c r="W106" s="7"/>
      <c r="X106" s="7"/>
      <c r="Y106" s="7"/>
      <c r="Z106" s="7"/>
    </row>
    <row r="107" spans="1:26" ht="7.5" customHeight="1">
      <c r="A107" s="7"/>
      <c r="B107" s="36"/>
      <c r="C107" s="37"/>
      <c r="D107" s="37"/>
      <c r="E107" s="37"/>
      <c r="F107" s="37"/>
      <c r="G107" s="7"/>
      <c r="H107" s="7"/>
      <c r="I107" s="7"/>
      <c r="J107" s="7"/>
      <c r="K107" s="7"/>
      <c r="L107" s="7"/>
      <c r="M107" s="7"/>
      <c r="N107" s="7"/>
      <c r="O107" s="7"/>
      <c r="P107" s="7"/>
      <c r="Q107" s="7"/>
      <c r="R107" s="7"/>
      <c r="S107" s="7"/>
      <c r="T107" s="7"/>
      <c r="U107" s="7"/>
      <c r="V107" s="7"/>
      <c r="W107" s="7"/>
      <c r="X107" s="7"/>
      <c r="Y107" s="7"/>
      <c r="Z107" s="7"/>
    </row>
    <row r="108" spans="1:26" ht="7.5" customHeight="1">
      <c r="A108" s="7"/>
      <c r="B108" s="36"/>
      <c r="C108" s="37"/>
      <c r="D108" s="37"/>
      <c r="E108" s="37"/>
      <c r="F108" s="37"/>
      <c r="G108" s="7"/>
      <c r="H108" s="7"/>
      <c r="I108" s="7"/>
      <c r="J108" s="7"/>
      <c r="K108" s="7"/>
      <c r="L108" s="7"/>
      <c r="M108" s="7"/>
      <c r="N108" s="7"/>
      <c r="O108" s="7"/>
      <c r="P108" s="7"/>
      <c r="Q108" s="7"/>
      <c r="R108" s="7"/>
      <c r="S108" s="7"/>
      <c r="T108" s="7"/>
      <c r="U108" s="7"/>
      <c r="V108" s="7"/>
      <c r="W108" s="7"/>
      <c r="X108" s="7"/>
      <c r="Y108" s="7"/>
      <c r="Z108" s="7"/>
    </row>
    <row r="109" spans="1:26" ht="7.5" customHeight="1">
      <c r="A109" s="7"/>
      <c r="B109" s="36"/>
      <c r="C109" s="37"/>
      <c r="D109" s="37"/>
      <c r="E109" s="37"/>
      <c r="F109" s="37"/>
      <c r="G109" s="7"/>
      <c r="H109" s="7"/>
      <c r="I109" s="7"/>
      <c r="J109" s="7"/>
      <c r="K109" s="7"/>
      <c r="L109" s="7"/>
      <c r="M109" s="7"/>
      <c r="N109" s="7"/>
      <c r="O109" s="7"/>
      <c r="P109" s="7"/>
      <c r="Q109" s="7"/>
      <c r="R109" s="7"/>
      <c r="S109" s="7"/>
      <c r="T109" s="7"/>
      <c r="U109" s="7"/>
      <c r="V109" s="7"/>
      <c r="W109" s="7"/>
      <c r="X109" s="7"/>
      <c r="Y109" s="7"/>
      <c r="Z109" s="7"/>
    </row>
    <row r="110" spans="1:26" ht="7.5" customHeight="1">
      <c r="A110" s="7"/>
      <c r="B110" s="36"/>
      <c r="C110" s="37"/>
      <c r="D110" s="37"/>
      <c r="E110" s="37"/>
      <c r="F110" s="37"/>
      <c r="G110" s="7"/>
      <c r="H110" s="7"/>
      <c r="I110" s="7"/>
      <c r="J110" s="7"/>
      <c r="K110" s="7"/>
      <c r="L110" s="7"/>
      <c r="M110" s="7"/>
      <c r="N110" s="7"/>
      <c r="O110" s="7"/>
      <c r="P110" s="7"/>
      <c r="Q110" s="7"/>
      <c r="R110" s="7"/>
      <c r="S110" s="7"/>
      <c r="T110" s="7"/>
      <c r="U110" s="7"/>
      <c r="V110" s="7"/>
      <c r="W110" s="7"/>
      <c r="X110" s="7"/>
      <c r="Y110" s="7"/>
      <c r="Z110" s="7"/>
    </row>
    <row r="111" spans="1:26" ht="7.5" customHeight="1">
      <c r="A111" s="7"/>
      <c r="B111" s="36"/>
      <c r="C111" s="37"/>
      <c r="D111" s="37"/>
      <c r="E111" s="37"/>
      <c r="F111" s="37"/>
      <c r="G111" s="7"/>
      <c r="H111" s="7"/>
      <c r="I111" s="7"/>
      <c r="J111" s="7"/>
      <c r="K111" s="7"/>
      <c r="L111" s="7"/>
      <c r="M111" s="7"/>
      <c r="N111" s="7"/>
      <c r="O111" s="7"/>
      <c r="P111" s="7"/>
      <c r="Q111" s="7"/>
      <c r="R111" s="7"/>
      <c r="S111" s="7"/>
      <c r="T111" s="7"/>
      <c r="U111" s="7"/>
      <c r="V111" s="7"/>
      <c r="W111" s="7"/>
      <c r="X111" s="7"/>
      <c r="Y111" s="7"/>
      <c r="Z111" s="7"/>
    </row>
    <row r="112" spans="1:26" ht="7.5" customHeight="1">
      <c r="A112" s="7"/>
      <c r="B112" s="36"/>
      <c r="C112" s="37"/>
      <c r="D112" s="37"/>
      <c r="E112" s="37"/>
      <c r="F112" s="37"/>
      <c r="G112" s="7"/>
      <c r="H112" s="7"/>
      <c r="I112" s="7"/>
      <c r="J112" s="7"/>
      <c r="K112" s="7"/>
      <c r="L112" s="7"/>
      <c r="M112" s="7"/>
      <c r="N112" s="7"/>
      <c r="O112" s="7"/>
      <c r="P112" s="7"/>
      <c r="Q112" s="7"/>
      <c r="R112" s="7"/>
      <c r="S112" s="7"/>
      <c r="T112" s="7"/>
      <c r="U112" s="7"/>
      <c r="V112" s="7"/>
      <c r="W112" s="7"/>
      <c r="X112" s="7"/>
      <c r="Y112" s="7"/>
      <c r="Z112" s="7"/>
    </row>
    <row r="113" spans="1:26" ht="7.5" customHeight="1">
      <c r="A113" s="7"/>
      <c r="B113" s="36"/>
      <c r="C113" s="37"/>
      <c r="D113" s="37"/>
      <c r="E113" s="37"/>
      <c r="F113" s="37"/>
      <c r="G113" s="7"/>
      <c r="H113" s="7"/>
      <c r="I113" s="7"/>
      <c r="J113" s="7"/>
      <c r="K113" s="7"/>
      <c r="L113" s="7"/>
      <c r="M113" s="7"/>
      <c r="N113" s="7"/>
      <c r="O113" s="7"/>
      <c r="P113" s="7"/>
      <c r="Q113" s="7"/>
      <c r="R113" s="7"/>
      <c r="S113" s="7"/>
      <c r="T113" s="7"/>
      <c r="U113" s="7"/>
      <c r="V113" s="7"/>
      <c r="W113" s="7"/>
      <c r="X113" s="7"/>
      <c r="Y113" s="7"/>
      <c r="Z113" s="7"/>
    </row>
    <row r="114" spans="1:26" ht="7.5" customHeight="1">
      <c r="A114" s="7"/>
      <c r="B114" s="36"/>
      <c r="C114" s="37"/>
      <c r="D114" s="37"/>
      <c r="E114" s="37"/>
      <c r="F114" s="37"/>
      <c r="G114" s="7"/>
      <c r="H114" s="7"/>
      <c r="I114" s="7"/>
      <c r="J114" s="7"/>
      <c r="K114" s="7"/>
      <c r="L114" s="7"/>
      <c r="M114" s="7"/>
      <c r="N114" s="7"/>
      <c r="O114" s="7"/>
      <c r="P114" s="7"/>
      <c r="Q114" s="7"/>
      <c r="R114" s="7"/>
      <c r="S114" s="7"/>
      <c r="T114" s="7"/>
      <c r="U114" s="7"/>
      <c r="V114" s="7"/>
      <c r="W114" s="7"/>
      <c r="X114" s="7"/>
      <c r="Y114" s="7"/>
      <c r="Z114" s="7"/>
    </row>
    <row r="115" spans="1:26" ht="7.5" customHeight="1">
      <c r="A115" s="7"/>
      <c r="B115" s="36"/>
      <c r="C115" s="37"/>
      <c r="D115" s="37"/>
      <c r="E115" s="37"/>
      <c r="F115" s="37"/>
      <c r="G115" s="7"/>
      <c r="H115" s="7"/>
      <c r="I115" s="7"/>
      <c r="J115" s="7"/>
      <c r="K115" s="7"/>
      <c r="L115" s="7"/>
      <c r="M115" s="7"/>
      <c r="N115" s="7"/>
      <c r="O115" s="7"/>
      <c r="P115" s="7"/>
      <c r="Q115" s="7"/>
      <c r="R115" s="7"/>
      <c r="S115" s="7"/>
      <c r="T115" s="7"/>
      <c r="U115" s="7"/>
      <c r="V115" s="7"/>
      <c r="W115" s="7"/>
      <c r="X115" s="7"/>
      <c r="Y115" s="7"/>
      <c r="Z115" s="7"/>
    </row>
    <row r="116" spans="1:26" ht="7.5" customHeight="1">
      <c r="A116" s="7"/>
      <c r="B116" s="36"/>
      <c r="C116" s="37"/>
      <c r="D116" s="37"/>
      <c r="E116" s="37"/>
      <c r="F116" s="37"/>
      <c r="G116" s="7"/>
      <c r="H116" s="7"/>
      <c r="I116" s="7"/>
      <c r="J116" s="7"/>
      <c r="K116" s="7"/>
      <c r="L116" s="7"/>
      <c r="M116" s="7"/>
      <c r="N116" s="7"/>
      <c r="O116" s="7"/>
      <c r="P116" s="7"/>
      <c r="Q116" s="7"/>
      <c r="R116" s="7"/>
      <c r="S116" s="7"/>
      <c r="T116" s="7"/>
      <c r="U116" s="7"/>
      <c r="V116" s="7"/>
      <c r="W116" s="7"/>
      <c r="X116" s="7"/>
      <c r="Y116" s="7"/>
      <c r="Z116" s="7"/>
    </row>
    <row r="117" spans="1:26" ht="7.5" customHeight="1">
      <c r="A117" s="7"/>
      <c r="B117" s="36"/>
      <c r="C117" s="37"/>
      <c r="D117" s="37"/>
      <c r="E117" s="37"/>
      <c r="F117" s="37"/>
      <c r="G117" s="7"/>
      <c r="H117" s="7"/>
      <c r="I117" s="7"/>
      <c r="J117" s="7"/>
      <c r="K117" s="7"/>
      <c r="L117" s="7"/>
      <c r="M117" s="7"/>
      <c r="N117" s="7"/>
      <c r="O117" s="7"/>
      <c r="P117" s="7"/>
      <c r="Q117" s="7"/>
      <c r="R117" s="7"/>
      <c r="S117" s="7"/>
      <c r="T117" s="7"/>
      <c r="U117" s="7"/>
      <c r="V117" s="7"/>
      <c r="W117" s="7"/>
      <c r="X117" s="7"/>
      <c r="Y117" s="7"/>
      <c r="Z117" s="7"/>
    </row>
    <row r="118" spans="1:26" ht="7.5" customHeight="1">
      <c r="A118" s="7"/>
      <c r="B118" s="36"/>
      <c r="C118" s="37"/>
      <c r="D118" s="37"/>
      <c r="E118" s="37"/>
      <c r="F118" s="37"/>
      <c r="G118" s="7"/>
      <c r="H118" s="7"/>
      <c r="I118" s="7"/>
      <c r="J118" s="7"/>
      <c r="K118" s="7"/>
      <c r="L118" s="7"/>
      <c r="M118" s="7"/>
      <c r="N118" s="7"/>
      <c r="O118" s="7"/>
      <c r="P118" s="7"/>
      <c r="Q118" s="7"/>
      <c r="R118" s="7"/>
      <c r="S118" s="7"/>
      <c r="T118" s="7"/>
      <c r="U118" s="7"/>
      <c r="V118" s="7"/>
      <c r="W118" s="7"/>
      <c r="X118" s="7"/>
      <c r="Y118" s="7"/>
      <c r="Z118" s="7"/>
    </row>
    <row r="119" spans="1:26" ht="7.5" customHeight="1">
      <c r="A119" s="7"/>
      <c r="B119" s="36"/>
      <c r="C119" s="37"/>
      <c r="D119" s="37"/>
      <c r="E119" s="37"/>
      <c r="F119" s="37"/>
      <c r="G119" s="7"/>
      <c r="H119" s="7"/>
      <c r="I119" s="7"/>
      <c r="J119" s="7"/>
      <c r="K119" s="7"/>
      <c r="L119" s="7"/>
      <c r="M119" s="7"/>
      <c r="N119" s="7"/>
      <c r="O119" s="7"/>
      <c r="P119" s="7"/>
      <c r="Q119" s="7"/>
      <c r="R119" s="7"/>
      <c r="S119" s="7"/>
      <c r="T119" s="7"/>
      <c r="U119" s="7"/>
      <c r="V119" s="7"/>
      <c r="W119" s="7"/>
      <c r="X119" s="7"/>
      <c r="Y119" s="7"/>
      <c r="Z119" s="7"/>
    </row>
    <row r="120" spans="1:26" ht="7.5" customHeight="1">
      <c r="A120" s="7"/>
      <c r="B120" s="36"/>
      <c r="C120" s="37"/>
      <c r="D120" s="37"/>
      <c r="E120" s="37"/>
      <c r="F120" s="37"/>
      <c r="G120" s="7"/>
      <c r="H120" s="7"/>
      <c r="I120" s="7"/>
      <c r="J120" s="7"/>
      <c r="K120" s="7"/>
      <c r="L120" s="7"/>
      <c r="M120" s="7"/>
      <c r="N120" s="7"/>
      <c r="O120" s="7"/>
      <c r="P120" s="7"/>
      <c r="Q120" s="7"/>
      <c r="R120" s="7"/>
      <c r="S120" s="7"/>
      <c r="T120" s="7"/>
      <c r="U120" s="7"/>
      <c r="V120" s="7"/>
      <c r="W120" s="7"/>
      <c r="X120" s="7"/>
      <c r="Y120" s="7"/>
      <c r="Z120" s="7"/>
    </row>
    <row r="121" spans="1:26" ht="7.5" customHeight="1">
      <c r="A121" s="7"/>
      <c r="B121" s="36"/>
      <c r="C121" s="37"/>
      <c r="D121" s="37"/>
      <c r="E121" s="37"/>
      <c r="F121" s="37"/>
      <c r="G121" s="7"/>
      <c r="H121" s="7"/>
      <c r="I121" s="7"/>
      <c r="J121" s="7"/>
      <c r="K121" s="7"/>
      <c r="L121" s="7"/>
      <c r="M121" s="7"/>
      <c r="N121" s="7"/>
      <c r="O121" s="7"/>
      <c r="P121" s="7"/>
      <c r="Q121" s="7"/>
      <c r="R121" s="7"/>
      <c r="S121" s="7"/>
      <c r="T121" s="7"/>
      <c r="U121" s="7"/>
      <c r="V121" s="7"/>
      <c r="W121" s="7"/>
      <c r="X121" s="7"/>
      <c r="Y121" s="7"/>
      <c r="Z121" s="7"/>
    </row>
    <row r="122" spans="1:26" ht="7.5" customHeight="1">
      <c r="A122" s="7"/>
      <c r="B122" s="36"/>
      <c r="C122" s="37"/>
      <c r="D122" s="37"/>
      <c r="E122" s="37"/>
      <c r="F122" s="37"/>
      <c r="G122" s="7"/>
      <c r="H122" s="7"/>
      <c r="I122" s="7"/>
      <c r="J122" s="7"/>
      <c r="K122" s="7"/>
      <c r="L122" s="7"/>
      <c r="M122" s="7"/>
      <c r="N122" s="7"/>
      <c r="O122" s="7"/>
      <c r="P122" s="7"/>
      <c r="Q122" s="7"/>
      <c r="R122" s="7"/>
      <c r="S122" s="7"/>
      <c r="T122" s="7"/>
      <c r="U122" s="7"/>
      <c r="V122" s="7"/>
      <c r="W122" s="7"/>
      <c r="X122" s="7"/>
      <c r="Y122" s="7"/>
      <c r="Z122" s="7"/>
    </row>
    <row r="123" spans="1:26" ht="7.5" customHeight="1">
      <c r="A123" s="7"/>
      <c r="B123" s="36"/>
      <c r="C123" s="37"/>
      <c r="D123" s="37"/>
      <c r="E123" s="37"/>
      <c r="F123" s="37"/>
      <c r="G123" s="7"/>
      <c r="H123" s="7"/>
      <c r="I123" s="7"/>
      <c r="J123" s="7"/>
      <c r="K123" s="7"/>
      <c r="L123" s="7"/>
      <c r="M123" s="7"/>
      <c r="N123" s="7"/>
      <c r="O123" s="7"/>
      <c r="P123" s="7"/>
      <c r="Q123" s="7"/>
      <c r="R123" s="7"/>
      <c r="S123" s="7"/>
      <c r="T123" s="7"/>
      <c r="U123" s="7"/>
      <c r="V123" s="7"/>
      <c r="W123" s="7"/>
      <c r="X123" s="7"/>
      <c r="Y123" s="7"/>
      <c r="Z123" s="7"/>
    </row>
    <row r="124" spans="1:26" ht="7.5" customHeight="1">
      <c r="A124" s="7"/>
      <c r="B124" s="36"/>
      <c r="C124" s="37"/>
      <c r="D124" s="37"/>
      <c r="E124" s="37"/>
      <c r="F124" s="37"/>
      <c r="G124" s="7"/>
      <c r="H124" s="7"/>
      <c r="I124" s="7"/>
      <c r="J124" s="7"/>
      <c r="K124" s="7"/>
      <c r="L124" s="7"/>
      <c r="M124" s="7"/>
      <c r="N124" s="7"/>
      <c r="O124" s="7"/>
      <c r="P124" s="7"/>
      <c r="Q124" s="7"/>
      <c r="R124" s="7"/>
      <c r="S124" s="7"/>
      <c r="T124" s="7"/>
      <c r="U124" s="7"/>
      <c r="V124" s="7"/>
      <c r="W124" s="7"/>
      <c r="X124" s="7"/>
      <c r="Y124" s="7"/>
      <c r="Z124" s="7"/>
    </row>
    <row r="125" spans="1:26" ht="7.5" customHeight="1">
      <c r="A125" s="7"/>
      <c r="B125" s="36"/>
      <c r="C125" s="37"/>
      <c r="D125" s="37"/>
      <c r="E125" s="37"/>
      <c r="F125" s="37"/>
      <c r="G125" s="7"/>
      <c r="H125" s="7"/>
      <c r="I125" s="7"/>
      <c r="J125" s="7"/>
      <c r="K125" s="7"/>
      <c r="L125" s="7"/>
      <c r="M125" s="7"/>
      <c r="N125" s="7"/>
      <c r="O125" s="7"/>
      <c r="P125" s="7"/>
      <c r="Q125" s="7"/>
      <c r="R125" s="7"/>
      <c r="S125" s="7"/>
      <c r="T125" s="7"/>
      <c r="U125" s="7"/>
      <c r="V125" s="7"/>
      <c r="W125" s="7"/>
      <c r="X125" s="7"/>
      <c r="Y125" s="7"/>
      <c r="Z125" s="7"/>
    </row>
    <row r="126" spans="1:26" ht="7.5" customHeight="1">
      <c r="A126" s="7"/>
      <c r="B126" s="36"/>
      <c r="C126" s="37"/>
      <c r="D126" s="37"/>
      <c r="E126" s="37"/>
      <c r="F126" s="37"/>
      <c r="G126" s="7"/>
      <c r="H126" s="7"/>
      <c r="I126" s="7"/>
      <c r="J126" s="7"/>
      <c r="K126" s="7"/>
      <c r="L126" s="7"/>
      <c r="M126" s="7"/>
      <c r="N126" s="7"/>
      <c r="O126" s="7"/>
      <c r="P126" s="7"/>
      <c r="Q126" s="7"/>
      <c r="R126" s="7"/>
      <c r="S126" s="7"/>
      <c r="T126" s="7"/>
      <c r="U126" s="7"/>
      <c r="V126" s="7"/>
      <c r="W126" s="7"/>
      <c r="X126" s="7"/>
      <c r="Y126" s="7"/>
      <c r="Z126" s="7"/>
    </row>
    <row r="127" spans="1:26" ht="7.5" customHeight="1">
      <c r="A127" s="7"/>
      <c r="B127" s="36"/>
      <c r="C127" s="37"/>
      <c r="D127" s="37"/>
      <c r="E127" s="37"/>
      <c r="F127" s="37"/>
      <c r="G127" s="7"/>
      <c r="H127" s="7"/>
      <c r="I127" s="7"/>
      <c r="J127" s="7"/>
      <c r="K127" s="7"/>
      <c r="L127" s="7"/>
      <c r="M127" s="7"/>
      <c r="N127" s="7"/>
      <c r="O127" s="7"/>
      <c r="P127" s="7"/>
      <c r="Q127" s="7"/>
      <c r="R127" s="7"/>
      <c r="S127" s="7"/>
      <c r="T127" s="7"/>
      <c r="U127" s="7"/>
      <c r="V127" s="7"/>
      <c r="W127" s="7"/>
      <c r="X127" s="7"/>
      <c r="Y127" s="7"/>
      <c r="Z127" s="7"/>
    </row>
    <row r="128" spans="1:26" ht="7.5" customHeight="1">
      <c r="A128" s="7"/>
      <c r="B128" s="36"/>
      <c r="C128" s="37"/>
      <c r="D128" s="37"/>
      <c r="E128" s="37"/>
      <c r="F128" s="37"/>
      <c r="G128" s="7"/>
      <c r="H128" s="7"/>
      <c r="I128" s="7"/>
      <c r="J128" s="7"/>
      <c r="K128" s="7"/>
      <c r="L128" s="7"/>
      <c r="M128" s="7"/>
      <c r="N128" s="7"/>
      <c r="O128" s="7"/>
      <c r="P128" s="7"/>
      <c r="Q128" s="7"/>
      <c r="R128" s="7"/>
      <c r="S128" s="7"/>
      <c r="T128" s="7"/>
      <c r="U128" s="7"/>
      <c r="V128" s="7"/>
      <c r="W128" s="7"/>
      <c r="X128" s="7"/>
      <c r="Y128" s="7"/>
      <c r="Z128" s="7"/>
    </row>
    <row r="129" spans="1:26" ht="7.5" customHeight="1">
      <c r="A129" s="7"/>
      <c r="B129" s="36"/>
      <c r="C129" s="37"/>
      <c r="D129" s="37"/>
      <c r="E129" s="37"/>
      <c r="F129" s="37"/>
      <c r="G129" s="7"/>
      <c r="H129" s="7"/>
      <c r="I129" s="7"/>
      <c r="J129" s="7"/>
      <c r="K129" s="7"/>
      <c r="L129" s="7"/>
      <c r="M129" s="7"/>
      <c r="N129" s="7"/>
      <c r="O129" s="7"/>
      <c r="P129" s="7"/>
      <c r="Q129" s="7"/>
      <c r="R129" s="7"/>
      <c r="S129" s="7"/>
      <c r="T129" s="7"/>
      <c r="U129" s="7"/>
      <c r="V129" s="7"/>
      <c r="W129" s="7"/>
      <c r="X129" s="7"/>
      <c r="Y129" s="7"/>
      <c r="Z129" s="7"/>
    </row>
    <row r="130" spans="1:26" ht="7.5" customHeight="1">
      <c r="A130" s="7"/>
      <c r="B130" s="36"/>
      <c r="C130" s="37"/>
      <c r="D130" s="37"/>
      <c r="E130" s="37"/>
      <c r="F130" s="37"/>
      <c r="G130" s="7"/>
      <c r="H130" s="7"/>
      <c r="I130" s="7"/>
      <c r="J130" s="7"/>
      <c r="K130" s="7"/>
      <c r="L130" s="7"/>
      <c r="M130" s="7"/>
      <c r="N130" s="7"/>
      <c r="O130" s="7"/>
      <c r="P130" s="7"/>
      <c r="Q130" s="7"/>
      <c r="R130" s="7"/>
      <c r="S130" s="7"/>
      <c r="T130" s="7"/>
      <c r="U130" s="7"/>
      <c r="V130" s="7"/>
      <c r="W130" s="7"/>
      <c r="X130" s="7"/>
      <c r="Y130" s="7"/>
      <c r="Z130" s="7"/>
    </row>
    <row r="131" spans="1:26" ht="7.5" customHeight="1">
      <c r="A131" s="7"/>
      <c r="B131" s="36"/>
      <c r="C131" s="37"/>
      <c r="D131" s="37"/>
      <c r="E131" s="37"/>
      <c r="F131" s="37"/>
      <c r="G131" s="7"/>
      <c r="H131" s="7"/>
      <c r="I131" s="7"/>
      <c r="J131" s="7"/>
      <c r="K131" s="7"/>
      <c r="L131" s="7"/>
      <c r="M131" s="7"/>
      <c r="N131" s="7"/>
      <c r="O131" s="7"/>
      <c r="P131" s="7"/>
      <c r="Q131" s="7"/>
      <c r="R131" s="7"/>
      <c r="S131" s="7"/>
      <c r="T131" s="7"/>
      <c r="U131" s="7"/>
      <c r="V131" s="7"/>
      <c r="W131" s="7"/>
      <c r="X131" s="7"/>
      <c r="Y131" s="7"/>
      <c r="Z131" s="7"/>
    </row>
    <row r="132" spans="1:26" ht="7.5" customHeight="1">
      <c r="A132" s="7"/>
      <c r="B132" s="36"/>
      <c r="C132" s="37"/>
      <c r="D132" s="37"/>
      <c r="E132" s="37"/>
      <c r="F132" s="37"/>
      <c r="G132" s="7"/>
      <c r="H132" s="7"/>
      <c r="I132" s="7"/>
      <c r="J132" s="7"/>
      <c r="K132" s="7"/>
      <c r="L132" s="7"/>
      <c r="M132" s="7"/>
      <c r="N132" s="7"/>
      <c r="O132" s="7"/>
      <c r="P132" s="7"/>
      <c r="Q132" s="7"/>
      <c r="R132" s="7"/>
      <c r="S132" s="7"/>
      <c r="T132" s="7"/>
      <c r="U132" s="7"/>
      <c r="V132" s="7"/>
      <c r="W132" s="7"/>
      <c r="X132" s="7"/>
      <c r="Y132" s="7"/>
      <c r="Z132" s="7"/>
    </row>
    <row r="133" spans="1:26" ht="7.5" customHeight="1">
      <c r="A133" s="7"/>
      <c r="B133" s="36"/>
      <c r="C133" s="37"/>
      <c r="D133" s="37"/>
      <c r="E133" s="37"/>
      <c r="F133" s="37"/>
      <c r="G133" s="7"/>
      <c r="H133" s="7"/>
      <c r="I133" s="7"/>
      <c r="J133" s="7"/>
      <c r="K133" s="7"/>
      <c r="L133" s="7"/>
      <c r="M133" s="7"/>
      <c r="N133" s="7"/>
      <c r="O133" s="7"/>
      <c r="P133" s="7"/>
      <c r="Q133" s="7"/>
      <c r="R133" s="7"/>
      <c r="S133" s="7"/>
      <c r="T133" s="7"/>
      <c r="U133" s="7"/>
      <c r="V133" s="7"/>
      <c r="W133" s="7"/>
      <c r="X133" s="7"/>
      <c r="Y133" s="7"/>
      <c r="Z133" s="7"/>
    </row>
    <row r="134" spans="1:26" ht="7.5" customHeight="1">
      <c r="A134" s="7"/>
      <c r="B134" s="36"/>
      <c r="C134" s="37"/>
      <c r="D134" s="37"/>
      <c r="E134" s="37"/>
      <c r="F134" s="37"/>
      <c r="G134" s="7"/>
      <c r="H134" s="7"/>
      <c r="I134" s="7"/>
      <c r="J134" s="7"/>
      <c r="K134" s="7"/>
      <c r="L134" s="7"/>
      <c r="M134" s="7"/>
      <c r="N134" s="7"/>
      <c r="O134" s="7"/>
      <c r="P134" s="7"/>
      <c r="Q134" s="7"/>
      <c r="R134" s="7"/>
      <c r="S134" s="7"/>
      <c r="T134" s="7"/>
      <c r="U134" s="7"/>
      <c r="V134" s="7"/>
      <c r="W134" s="7"/>
      <c r="X134" s="7"/>
      <c r="Y134" s="7"/>
      <c r="Z134" s="7"/>
    </row>
    <row r="135" spans="1:26" ht="7.5" customHeight="1">
      <c r="A135" s="7"/>
      <c r="B135" s="36"/>
      <c r="C135" s="37"/>
      <c r="D135" s="37"/>
      <c r="E135" s="37"/>
      <c r="F135" s="37"/>
      <c r="G135" s="7"/>
      <c r="H135" s="7"/>
      <c r="I135" s="7"/>
      <c r="J135" s="7"/>
      <c r="K135" s="7"/>
      <c r="L135" s="7"/>
      <c r="M135" s="7"/>
      <c r="N135" s="7"/>
      <c r="O135" s="7"/>
      <c r="P135" s="7"/>
      <c r="Q135" s="7"/>
      <c r="R135" s="7"/>
      <c r="S135" s="7"/>
      <c r="T135" s="7"/>
      <c r="U135" s="7"/>
      <c r="V135" s="7"/>
      <c r="W135" s="7"/>
      <c r="X135" s="7"/>
      <c r="Y135" s="7"/>
      <c r="Z135" s="7"/>
    </row>
    <row r="136" spans="1:26" ht="7.5" customHeight="1">
      <c r="A136" s="7"/>
      <c r="B136" s="36"/>
      <c r="C136" s="37"/>
      <c r="D136" s="37"/>
      <c r="E136" s="37"/>
      <c r="F136" s="37"/>
      <c r="G136" s="7"/>
      <c r="H136" s="7"/>
      <c r="I136" s="7"/>
      <c r="J136" s="7"/>
      <c r="K136" s="7"/>
      <c r="L136" s="7"/>
      <c r="M136" s="7"/>
      <c r="N136" s="7"/>
      <c r="O136" s="7"/>
      <c r="P136" s="7"/>
      <c r="Q136" s="7"/>
      <c r="R136" s="7"/>
      <c r="S136" s="7"/>
      <c r="T136" s="7"/>
      <c r="U136" s="7"/>
      <c r="V136" s="7"/>
      <c r="W136" s="7"/>
      <c r="X136" s="7"/>
      <c r="Y136" s="7"/>
      <c r="Z136" s="7"/>
    </row>
    <row r="137" spans="1:26" ht="7.5" customHeight="1">
      <c r="A137" s="7"/>
      <c r="B137" s="36"/>
      <c r="C137" s="37"/>
      <c r="D137" s="37"/>
      <c r="E137" s="37"/>
      <c r="F137" s="37"/>
      <c r="G137" s="7"/>
      <c r="H137" s="7"/>
      <c r="I137" s="7"/>
      <c r="J137" s="7"/>
      <c r="K137" s="7"/>
      <c r="L137" s="7"/>
      <c r="M137" s="7"/>
      <c r="N137" s="7"/>
      <c r="O137" s="7"/>
      <c r="P137" s="7"/>
      <c r="Q137" s="7"/>
      <c r="R137" s="7"/>
      <c r="S137" s="7"/>
      <c r="T137" s="7"/>
      <c r="U137" s="7"/>
      <c r="V137" s="7"/>
      <c r="W137" s="7"/>
      <c r="X137" s="7"/>
      <c r="Y137" s="7"/>
      <c r="Z137" s="7"/>
    </row>
    <row r="138" spans="1:26" ht="7.5" customHeight="1">
      <c r="A138" s="7"/>
      <c r="B138" s="36"/>
      <c r="C138" s="37"/>
      <c r="D138" s="37"/>
      <c r="E138" s="37"/>
      <c r="F138" s="37"/>
      <c r="G138" s="7"/>
      <c r="H138" s="7"/>
      <c r="I138" s="7"/>
      <c r="J138" s="7"/>
      <c r="K138" s="7"/>
      <c r="L138" s="7"/>
      <c r="M138" s="7"/>
      <c r="N138" s="7"/>
      <c r="O138" s="7"/>
      <c r="P138" s="7"/>
      <c r="Q138" s="7"/>
      <c r="R138" s="7"/>
      <c r="S138" s="7"/>
      <c r="T138" s="7"/>
      <c r="U138" s="7"/>
      <c r="V138" s="7"/>
      <c r="W138" s="7"/>
      <c r="X138" s="7"/>
      <c r="Y138" s="7"/>
      <c r="Z138" s="7"/>
    </row>
    <row r="139" spans="1:26" ht="7.5" customHeight="1">
      <c r="A139" s="7"/>
      <c r="B139" s="36"/>
      <c r="C139" s="37"/>
      <c r="D139" s="37"/>
      <c r="E139" s="37"/>
      <c r="F139" s="37"/>
      <c r="G139" s="7"/>
      <c r="H139" s="7"/>
      <c r="I139" s="7"/>
      <c r="J139" s="7"/>
      <c r="K139" s="7"/>
      <c r="L139" s="7"/>
      <c r="M139" s="7"/>
      <c r="N139" s="7"/>
      <c r="O139" s="7"/>
      <c r="P139" s="7"/>
      <c r="Q139" s="7"/>
      <c r="R139" s="7"/>
      <c r="S139" s="7"/>
      <c r="T139" s="7"/>
      <c r="U139" s="7"/>
      <c r="V139" s="7"/>
      <c r="W139" s="7"/>
      <c r="X139" s="7"/>
      <c r="Y139" s="7"/>
      <c r="Z139" s="7"/>
    </row>
    <row r="140" spans="1:26" ht="7.5" customHeight="1">
      <c r="A140" s="7"/>
      <c r="B140" s="36"/>
      <c r="C140" s="37"/>
      <c r="D140" s="37"/>
      <c r="E140" s="37"/>
      <c r="F140" s="37"/>
      <c r="G140" s="7"/>
      <c r="H140" s="7"/>
      <c r="I140" s="7"/>
      <c r="J140" s="7"/>
      <c r="K140" s="7"/>
      <c r="L140" s="7"/>
      <c r="M140" s="7"/>
      <c r="N140" s="7"/>
      <c r="O140" s="7"/>
      <c r="P140" s="7"/>
      <c r="Q140" s="7"/>
      <c r="R140" s="7"/>
      <c r="S140" s="7"/>
      <c r="T140" s="7"/>
      <c r="U140" s="7"/>
      <c r="V140" s="7"/>
      <c r="W140" s="7"/>
      <c r="X140" s="7"/>
      <c r="Y140" s="7"/>
      <c r="Z140" s="7"/>
    </row>
    <row r="141" spans="1:26" ht="7.5" customHeight="1">
      <c r="A141" s="7"/>
      <c r="B141" s="36"/>
      <c r="C141" s="37"/>
      <c r="D141" s="37"/>
      <c r="E141" s="37"/>
      <c r="F141" s="37"/>
      <c r="G141" s="7"/>
      <c r="H141" s="7"/>
      <c r="I141" s="7"/>
      <c r="J141" s="7"/>
      <c r="K141" s="7"/>
      <c r="L141" s="7"/>
      <c r="M141" s="7"/>
      <c r="N141" s="7"/>
      <c r="O141" s="7"/>
      <c r="P141" s="7"/>
      <c r="Q141" s="7"/>
      <c r="R141" s="7"/>
      <c r="S141" s="7"/>
      <c r="T141" s="7"/>
      <c r="U141" s="7"/>
      <c r="V141" s="7"/>
      <c r="W141" s="7"/>
      <c r="X141" s="7"/>
      <c r="Y141" s="7"/>
      <c r="Z141" s="7"/>
    </row>
    <row r="142" spans="1:26" ht="7.5" customHeight="1">
      <c r="A142" s="7"/>
      <c r="B142" s="36"/>
      <c r="C142" s="37"/>
      <c r="D142" s="37"/>
      <c r="E142" s="37"/>
      <c r="F142" s="37"/>
      <c r="G142" s="7"/>
      <c r="H142" s="7"/>
      <c r="I142" s="7"/>
      <c r="J142" s="7"/>
      <c r="K142" s="7"/>
      <c r="L142" s="7"/>
      <c r="M142" s="7"/>
      <c r="N142" s="7"/>
      <c r="O142" s="7"/>
      <c r="P142" s="7"/>
      <c r="Q142" s="7"/>
      <c r="R142" s="7"/>
      <c r="S142" s="7"/>
      <c r="T142" s="7"/>
      <c r="U142" s="7"/>
      <c r="V142" s="7"/>
      <c r="W142" s="7"/>
      <c r="X142" s="7"/>
      <c r="Y142" s="7"/>
      <c r="Z142" s="7"/>
    </row>
    <row r="143" spans="1:26" ht="7.5" customHeight="1">
      <c r="A143" s="7"/>
      <c r="B143" s="36"/>
      <c r="C143" s="37"/>
      <c r="D143" s="37"/>
      <c r="E143" s="37"/>
      <c r="F143" s="37"/>
      <c r="G143" s="7"/>
      <c r="H143" s="7"/>
      <c r="I143" s="7"/>
      <c r="J143" s="7"/>
      <c r="K143" s="7"/>
      <c r="L143" s="7"/>
      <c r="M143" s="7"/>
      <c r="N143" s="7"/>
      <c r="O143" s="7"/>
      <c r="P143" s="7"/>
      <c r="Q143" s="7"/>
      <c r="R143" s="7"/>
      <c r="S143" s="7"/>
      <c r="T143" s="7"/>
      <c r="U143" s="7"/>
      <c r="V143" s="7"/>
      <c r="W143" s="7"/>
      <c r="X143" s="7"/>
      <c r="Y143" s="7"/>
      <c r="Z143" s="7"/>
    </row>
    <row r="144" spans="1:26" ht="7.5" customHeight="1">
      <c r="A144" s="7"/>
      <c r="B144" s="36"/>
      <c r="C144" s="37"/>
      <c r="D144" s="37"/>
      <c r="E144" s="37"/>
      <c r="F144" s="37"/>
      <c r="G144" s="7"/>
      <c r="H144" s="7"/>
      <c r="I144" s="7"/>
      <c r="J144" s="7"/>
      <c r="K144" s="7"/>
      <c r="L144" s="7"/>
      <c r="M144" s="7"/>
      <c r="N144" s="7"/>
      <c r="O144" s="7"/>
      <c r="P144" s="7"/>
      <c r="Q144" s="7"/>
      <c r="R144" s="7"/>
      <c r="S144" s="7"/>
      <c r="T144" s="7"/>
      <c r="U144" s="7"/>
      <c r="V144" s="7"/>
      <c r="W144" s="7"/>
      <c r="X144" s="7"/>
      <c r="Y144" s="7"/>
      <c r="Z144" s="7"/>
    </row>
    <row r="145" spans="1:26" ht="7.5" customHeight="1">
      <c r="A145" s="7"/>
      <c r="B145" s="36"/>
      <c r="C145" s="37"/>
      <c r="D145" s="37"/>
      <c r="E145" s="37"/>
      <c r="F145" s="37"/>
      <c r="G145" s="7"/>
      <c r="H145" s="7"/>
      <c r="I145" s="7"/>
      <c r="J145" s="7"/>
      <c r="K145" s="7"/>
      <c r="L145" s="7"/>
      <c r="M145" s="7"/>
      <c r="N145" s="7"/>
      <c r="O145" s="7"/>
      <c r="P145" s="7"/>
      <c r="Q145" s="7"/>
      <c r="R145" s="7"/>
      <c r="S145" s="7"/>
      <c r="T145" s="7"/>
      <c r="U145" s="7"/>
      <c r="V145" s="7"/>
      <c r="W145" s="7"/>
      <c r="X145" s="7"/>
      <c r="Y145" s="7"/>
      <c r="Z145" s="7"/>
    </row>
    <row r="146" spans="1:26" ht="7.5" customHeight="1">
      <c r="A146" s="7"/>
      <c r="B146" s="36"/>
      <c r="C146" s="37"/>
      <c r="D146" s="37"/>
      <c r="E146" s="37"/>
      <c r="F146" s="37"/>
      <c r="G146" s="7"/>
      <c r="H146" s="7"/>
      <c r="I146" s="7"/>
      <c r="J146" s="7"/>
      <c r="K146" s="7"/>
      <c r="L146" s="7"/>
      <c r="M146" s="7"/>
      <c r="N146" s="7"/>
      <c r="O146" s="7"/>
      <c r="P146" s="7"/>
      <c r="Q146" s="7"/>
      <c r="R146" s="7"/>
      <c r="S146" s="7"/>
      <c r="T146" s="7"/>
      <c r="U146" s="7"/>
      <c r="V146" s="7"/>
      <c r="W146" s="7"/>
      <c r="X146" s="7"/>
      <c r="Y146" s="7"/>
      <c r="Z146" s="7"/>
    </row>
    <row r="147" spans="1:26" ht="7.5" customHeight="1">
      <c r="A147" s="7"/>
      <c r="B147" s="36"/>
      <c r="C147" s="37"/>
      <c r="D147" s="37"/>
      <c r="E147" s="37"/>
      <c r="F147" s="37"/>
      <c r="G147" s="7"/>
      <c r="H147" s="7"/>
      <c r="I147" s="7"/>
      <c r="J147" s="7"/>
      <c r="K147" s="7"/>
      <c r="L147" s="7"/>
      <c r="M147" s="7"/>
      <c r="N147" s="7"/>
      <c r="O147" s="7"/>
      <c r="P147" s="7"/>
      <c r="Q147" s="7"/>
      <c r="R147" s="7"/>
      <c r="S147" s="7"/>
      <c r="T147" s="7"/>
      <c r="U147" s="7"/>
      <c r="V147" s="7"/>
      <c r="W147" s="7"/>
      <c r="X147" s="7"/>
      <c r="Y147" s="7"/>
      <c r="Z147" s="7"/>
    </row>
    <row r="148" spans="1:26" ht="7.5" customHeight="1">
      <c r="A148" s="7"/>
      <c r="B148" s="36"/>
      <c r="C148" s="37"/>
      <c r="D148" s="37"/>
      <c r="E148" s="37"/>
      <c r="F148" s="37"/>
      <c r="G148" s="7"/>
      <c r="H148" s="7"/>
      <c r="I148" s="7"/>
      <c r="J148" s="7"/>
      <c r="K148" s="7"/>
      <c r="L148" s="7"/>
      <c r="M148" s="7"/>
      <c r="N148" s="7"/>
      <c r="O148" s="7"/>
      <c r="P148" s="7"/>
      <c r="Q148" s="7"/>
      <c r="R148" s="7"/>
      <c r="S148" s="7"/>
      <c r="T148" s="7"/>
      <c r="U148" s="7"/>
      <c r="V148" s="7"/>
      <c r="W148" s="7"/>
      <c r="X148" s="7"/>
      <c r="Y148" s="7"/>
      <c r="Z148" s="7"/>
    </row>
    <row r="149" spans="1:26" ht="7.5" customHeight="1">
      <c r="A149" s="7"/>
      <c r="B149" s="36"/>
      <c r="C149" s="37"/>
      <c r="D149" s="37"/>
      <c r="E149" s="37"/>
      <c r="F149" s="37"/>
      <c r="G149" s="7"/>
      <c r="H149" s="7"/>
      <c r="I149" s="7"/>
      <c r="J149" s="7"/>
      <c r="K149" s="7"/>
      <c r="L149" s="7"/>
      <c r="M149" s="7"/>
      <c r="N149" s="7"/>
      <c r="O149" s="7"/>
      <c r="P149" s="7"/>
      <c r="Q149" s="7"/>
      <c r="R149" s="7"/>
      <c r="S149" s="7"/>
      <c r="T149" s="7"/>
      <c r="U149" s="7"/>
      <c r="V149" s="7"/>
      <c r="W149" s="7"/>
      <c r="X149" s="7"/>
      <c r="Y149" s="7"/>
      <c r="Z149" s="7"/>
    </row>
    <row r="150" spans="1:26" ht="7.5" customHeight="1">
      <c r="A150" s="7"/>
      <c r="B150" s="36"/>
      <c r="C150" s="37"/>
      <c r="D150" s="37"/>
      <c r="E150" s="37"/>
      <c r="F150" s="37"/>
      <c r="G150" s="7"/>
      <c r="H150" s="7"/>
      <c r="I150" s="7"/>
      <c r="J150" s="7"/>
      <c r="K150" s="7"/>
      <c r="L150" s="7"/>
      <c r="M150" s="7"/>
      <c r="N150" s="7"/>
      <c r="O150" s="7"/>
      <c r="P150" s="7"/>
      <c r="Q150" s="7"/>
      <c r="R150" s="7"/>
      <c r="S150" s="7"/>
      <c r="T150" s="7"/>
      <c r="U150" s="7"/>
      <c r="V150" s="7"/>
      <c r="W150" s="7"/>
      <c r="X150" s="7"/>
      <c r="Y150" s="7"/>
      <c r="Z150" s="7"/>
    </row>
    <row r="151" spans="1:26" ht="7.5" customHeight="1">
      <c r="A151" s="7"/>
      <c r="B151" s="36"/>
      <c r="C151" s="37"/>
      <c r="D151" s="37"/>
      <c r="E151" s="37"/>
      <c r="F151" s="37"/>
      <c r="G151" s="7"/>
      <c r="H151" s="7"/>
      <c r="I151" s="7"/>
      <c r="J151" s="7"/>
      <c r="K151" s="7"/>
      <c r="L151" s="7"/>
      <c r="M151" s="7"/>
      <c r="N151" s="7"/>
      <c r="O151" s="7"/>
      <c r="P151" s="7"/>
      <c r="Q151" s="7"/>
      <c r="R151" s="7"/>
      <c r="S151" s="7"/>
      <c r="T151" s="7"/>
      <c r="U151" s="7"/>
      <c r="V151" s="7"/>
      <c r="W151" s="7"/>
      <c r="X151" s="7"/>
      <c r="Y151" s="7"/>
      <c r="Z151" s="7"/>
    </row>
    <row r="152" spans="1:26" ht="7.5" customHeight="1">
      <c r="A152" s="7"/>
      <c r="B152" s="36"/>
      <c r="C152" s="37"/>
      <c r="D152" s="37"/>
      <c r="E152" s="37"/>
      <c r="F152" s="37"/>
      <c r="G152" s="7"/>
      <c r="H152" s="7"/>
      <c r="I152" s="7"/>
      <c r="J152" s="7"/>
      <c r="K152" s="7"/>
      <c r="L152" s="7"/>
      <c r="M152" s="7"/>
      <c r="N152" s="7"/>
      <c r="O152" s="7"/>
      <c r="P152" s="7"/>
      <c r="Q152" s="7"/>
      <c r="R152" s="7"/>
      <c r="S152" s="7"/>
      <c r="T152" s="7"/>
      <c r="U152" s="7"/>
      <c r="V152" s="7"/>
      <c r="W152" s="7"/>
      <c r="X152" s="7"/>
      <c r="Y152" s="7"/>
      <c r="Z152" s="7"/>
    </row>
    <row r="153" spans="1:26" ht="7.5" customHeight="1">
      <c r="A153" s="7"/>
      <c r="B153" s="36"/>
      <c r="C153" s="37"/>
      <c r="D153" s="37"/>
      <c r="E153" s="37"/>
      <c r="F153" s="37"/>
      <c r="G153" s="7"/>
      <c r="H153" s="7"/>
      <c r="I153" s="7"/>
      <c r="J153" s="7"/>
      <c r="K153" s="7"/>
      <c r="L153" s="7"/>
      <c r="M153" s="7"/>
      <c r="N153" s="7"/>
      <c r="O153" s="7"/>
      <c r="P153" s="7"/>
      <c r="Q153" s="7"/>
      <c r="R153" s="7"/>
      <c r="S153" s="7"/>
      <c r="T153" s="7"/>
      <c r="U153" s="7"/>
      <c r="V153" s="7"/>
      <c r="W153" s="7"/>
      <c r="X153" s="7"/>
      <c r="Y153" s="7"/>
      <c r="Z153" s="7"/>
    </row>
    <row r="154" spans="1:26" ht="7.5" customHeight="1">
      <c r="A154" s="7"/>
      <c r="B154" s="36"/>
      <c r="C154" s="37"/>
      <c r="D154" s="37"/>
      <c r="E154" s="37"/>
      <c r="F154" s="37"/>
      <c r="G154" s="7"/>
      <c r="H154" s="7"/>
      <c r="I154" s="7"/>
      <c r="J154" s="7"/>
      <c r="K154" s="7"/>
      <c r="L154" s="7"/>
      <c r="M154" s="7"/>
      <c r="N154" s="7"/>
      <c r="O154" s="7"/>
      <c r="P154" s="7"/>
      <c r="Q154" s="7"/>
      <c r="R154" s="7"/>
      <c r="S154" s="7"/>
      <c r="T154" s="7"/>
      <c r="U154" s="7"/>
      <c r="V154" s="7"/>
      <c r="W154" s="7"/>
      <c r="X154" s="7"/>
      <c r="Y154" s="7"/>
      <c r="Z154" s="7"/>
    </row>
    <row r="155" spans="1:26" ht="7.5" customHeight="1">
      <c r="A155" s="7"/>
      <c r="B155" s="36"/>
      <c r="C155" s="37"/>
      <c r="D155" s="37"/>
      <c r="E155" s="37"/>
      <c r="F155" s="37"/>
      <c r="G155" s="7"/>
      <c r="H155" s="7"/>
      <c r="I155" s="7"/>
      <c r="J155" s="7"/>
      <c r="K155" s="7"/>
      <c r="L155" s="7"/>
      <c r="M155" s="7"/>
      <c r="N155" s="7"/>
      <c r="O155" s="7"/>
      <c r="P155" s="7"/>
      <c r="Q155" s="7"/>
      <c r="R155" s="7"/>
      <c r="S155" s="7"/>
      <c r="T155" s="7"/>
      <c r="U155" s="7"/>
      <c r="V155" s="7"/>
      <c r="W155" s="7"/>
      <c r="X155" s="7"/>
      <c r="Y155" s="7"/>
      <c r="Z155" s="7"/>
    </row>
    <row r="156" spans="1:26" ht="7.5" customHeight="1">
      <c r="A156" s="7"/>
      <c r="B156" s="36"/>
      <c r="C156" s="37"/>
      <c r="D156" s="37"/>
      <c r="E156" s="37"/>
      <c r="F156" s="37"/>
      <c r="G156" s="7"/>
      <c r="H156" s="7"/>
      <c r="I156" s="7"/>
      <c r="J156" s="7"/>
      <c r="K156" s="7"/>
      <c r="L156" s="7"/>
      <c r="M156" s="7"/>
      <c r="N156" s="7"/>
      <c r="O156" s="7"/>
      <c r="P156" s="7"/>
      <c r="Q156" s="7"/>
      <c r="R156" s="7"/>
      <c r="S156" s="7"/>
      <c r="T156" s="7"/>
      <c r="U156" s="7"/>
      <c r="V156" s="7"/>
      <c r="W156" s="7"/>
      <c r="X156" s="7"/>
      <c r="Y156" s="7"/>
      <c r="Z156" s="7"/>
    </row>
    <row r="157" spans="1:26" ht="7.5" customHeight="1">
      <c r="A157" s="7"/>
      <c r="B157" s="36"/>
      <c r="C157" s="37"/>
      <c r="D157" s="37"/>
      <c r="E157" s="37"/>
      <c r="F157" s="37"/>
      <c r="G157" s="7"/>
      <c r="H157" s="7"/>
      <c r="I157" s="7"/>
      <c r="J157" s="7"/>
      <c r="K157" s="7"/>
      <c r="L157" s="7"/>
      <c r="M157" s="7"/>
      <c r="N157" s="7"/>
      <c r="O157" s="7"/>
      <c r="P157" s="7"/>
      <c r="Q157" s="7"/>
      <c r="R157" s="7"/>
      <c r="S157" s="7"/>
      <c r="T157" s="7"/>
      <c r="U157" s="7"/>
      <c r="V157" s="7"/>
      <c r="W157" s="7"/>
      <c r="X157" s="7"/>
      <c r="Y157" s="7"/>
      <c r="Z157" s="7"/>
    </row>
    <row r="158" spans="1:26" ht="7.5" customHeight="1">
      <c r="A158" s="7"/>
      <c r="B158" s="36"/>
      <c r="C158" s="37"/>
      <c r="D158" s="37"/>
      <c r="E158" s="37"/>
      <c r="F158" s="37"/>
      <c r="G158" s="7"/>
      <c r="H158" s="7"/>
      <c r="I158" s="7"/>
      <c r="J158" s="7"/>
      <c r="K158" s="7"/>
      <c r="L158" s="7"/>
      <c r="M158" s="7"/>
      <c r="N158" s="7"/>
      <c r="O158" s="7"/>
      <c r="P158" s="7"/>
      <c r="Q158" s="7"/>
      <c r="R158" s="7"/>
      <c r="S158" s="7"/>
      <c r="T158" s="7"/>
      <c r="U158" s="7"/>
      <c r="V158" s="7"/>
      <c r="W158" s="7"/>
      <c r="X158" s="7"/>
      <c r="Y158" s="7"/>
      <c r="Z158" s="7"/>
    </row>
    <row r="159" spans="1:26" ht="7.5" customHeight="1">
      <c r="A159" s="7"/>
      <c r="B159" s="36"/>
      <c r="C159" s="37"/>
      <c r="D159" s="37"/>
      <c r="E159" s="37"/>
      <c r="F159" s="37"/>
      <c r="G159" s="7"/>
      <c r="H159" s="7"/>
      <c r="I159" s="7"/>
      <c r="J159" s="7"/>
      <c r="K159" s="7"/>
      <c r="L159" s="7"/>
      <c r="M159" s="7"/>
      <c r="N159" s="7"/>
      <c r="O159" s="7"/>
      <c r="P159" s="7"/>
      <c r="Q159" s="7"/>
      <c r="R159" s="7"/>
      <c r="S159" s="7"/>
      <c r="T159" s="7"/>
      <c r="U159" s="7"/>
      <c r="V159" s="7"/>
      <c r="W159" s="7"/>
      <c r="X159" s="7"/>
      <c r="Y159" s="7"/>
      <c r="Z159" s="7"/>
    </row>
    <row r="160" spans="1:26" ht="7.5" customHeight="1">
      <c r="A160" s="7"/>
      <c r="B160" s="36"/>
      <c r="C160" s="37"/>
      <c r="D160" s="37"/>
      <c r="E160" s="37"/>
      <c r="F160" s="37"/>
      <c r="G160" s="7"/>
      <c r="H160" s="7"/>
      <c r="I160" s="7"/>
      <c r="J160" s="7"/>
      <c r="K160" s="7"/>
      <c r="L160" s="7"/>
      <c r="M160" s="7"/>
      <c r="N160" s="7"/>
      <c r="O160" s="7"/>
      <c r="P160" s="7"/>
      <c r="Q160" s="7"/>
      <c r="R160" s="7"/>
      <c r="S160" s="7"/>
      <c r="T160" s="7"/>
      <c r="U160" s="7"/>
      <c r="V160" s="7"/>
      <c r="W160" s="7"/>
      <c r="X160" s="7"/>
      <c r="Y160" s="7"/>
      <c r="Z160" s="7"/>
    </row>
    <row r="161" spans="1:26" ht="7.5" customHeight="1">
      <c r="A161" s="7"/>
      <c r="B161" s="36"/>
      <c r="C161" s="37"/>
      <c r="D161" s="37"/>
      <c r="E161" s="37"/>
      <c r="F161" s="37"/>
      <c r="G161" s="7"/>
      <c r="H161" s="7"/>
      <c r="I161" s="7"/>
      <c r="J161" s="7"/>
      <c r="K161" s="7"/>
      <c r="L161" s="7"/>
      <c r="M161" s="7"/>
      <c r="N161" s="7"/>
      <c r="O161" s="7"/>
      <c r="P161" s="7"/>
      <c r="Q161" s="7"/>
      <c r="R161" s="7"/>
      <c r="S161" s="7"/>
      <c r="T161" s="7"/>
      <c r="U161" s="7"/>
      <c r="V161" s="7"/>
      <c r="W161" s="7"/>
      <c r="X161" s="7"/>
      <c r="Y161" s="7"/>
      <c r="Z161" s="7"/>
    </row>
    <row r="162" spans="1:26" ht="7.5" customHeight="1">
      <c r="A162" s="7"/>
      <c r="B162" s="36"/>
      <c r="C162" s="37"/>
      <c r="D162" s="37"/>
      <c r="E162" s="37"/>
      <c r="F162" s="37"/>
      <c r="G162" s="7"/>
      <c r="H162" s="7"/>
      <c r="I162" s="7"/>
      <c r="J162" s="7"/>
      <c r="K162" s="7"/>
      <c r="L162" s="7"/>
      <c r="M162" s="7"/>
      <c r="N162" s="7"/>
      <c r="O162" s="7"/>
      <c r="P162" s="7"/>
      <c r="Q162" s="7"/>
      <c r="R162" s="7"/>
      <c r="S162" s="7"/>
      <c r="T162" s="7"/>
      <c r="U162" s="7"/>
      <c r="V162" s="7"/>
      <c r="W162" s="7"/>
      <c r="X162" s="7"/>
      <c r="Y162" s="7"/>
      <c r="Z162" s="7"/>
    </row>
    <row r="163" spans="1:26" ht="7.5" customHeight="1">
      <c r="A163" s="7"/>
      <c r="B163" s="36"/>
      <c r="C163" s="37"/>
      <c r="D163" s="37"/>
      <c r="E163" s="37"/>
      <c r="F163" s="37"/>
      <c r="G163" s="7"/>
      <c r="H163" s="7"/>
      <c r="I163" s="7"/>
      <c r="J163" s="7"/>
      <c r="K163" s="7"/>
      <c r="L163" s="7"/>
      <c r="M163" s="7"/>
      <c r="N163" s="7"/>
      <c r="O163" s="7"/>
      <c r="P163" s="7"/>
      <c r="Q163" s="7"/>
      <c r="R163" s="7"/>
      <c r="S163" s="7"/>
      <c r="T163" s="7"/>
      <c r="U163" s="7"/>
      <c r="V163" s="7"/>
      <c r="W163" s="7"/>
      <c r="X163" s="7"/>
      <c r="Y163" s="7"/>
      <c r="Z163" s="7"/>
    </row>
    <row r="164" spans="1:26" ht="7.5" customHeight="1">
      <c r="A164" s="7"/>
      <c r="B164" s="36"/>
      <c r="C164" s="37"/>
      <c r="D164" s="37"/>
      <c r="E164" s="37"/>
      <c r="F164" s="37"/>
      <c r="G164" s="7"/>
      <c r="H164" s="7"/>
      <c r="I164" s="7"/>
      <c r="J164" s="7"/>
      <c r="K164" s="7"/>
      <c r="L164" s="7"/>
      <c r="M164" s="7"/>
      <c r="N164" s="7"/>
      <c r="O164" s="7"/>
      <c r="P164" s="7"/>
      <c r="Q164" s="7"/>
      <c r="R164" s="7"/>
      <c r="S164" s="7"/>
      <c r="T164" s="7"/>
      <c r="U164" s="7"/>
      <c r="V164" s="7"/>
      <c r="W164" s="7"/>
      <c r="X164" s="7"/>
      <c r="Y164" s="7"/>
      <c r="Z164" s="7"/>
    </row>
    <row r="165" spans="1:26" ht="7.5" customHeight="1">
      <c r="A165" s="7"/>
      <c r="B165" s="36"/>
      <c r="C165" s="37"/>
      <c r="D165" s="37"/>
      <c r="E165" s="37"/>
      <c r="F165" s="37"/>
      <c r="G165" s="7"/>
      <c r="H165" s="7"/>
      <c r="I165" s="7"/>
      <c r="J165" s="7"/>
      <c r="K165" s="7"/>
      <c r="L165" s="7"/>
      <c r="M165" s="7"/>
      <c r="N165" s="7"/>
      <c r="O165" s="7"/>
      <c r="P165" s="7"/>
      <c r="Q165" s="7"/>
      <c r="R165" s="7"/>
      <c r="S165" s="7"/>
      <c r="T165" s="7"/>
      <c r="U165" s="7"/>
      <c r="V165" s="7"/>
      <c r="W165" s="7"/>
      <c r="X165" s="7"/>
      <c r="Y165" s="7"/>
      <c r="Z165" s="7"/>
    </row>
    <row r="166" spans="1:26" ht="7.5" customHeight="1">
      <c r="A166" s="7"/>
      <c r="B166" s="36"/>
      <c r="C166" s="37"/>
      <c r="D166" s="37"/>
      <c r="E166" s="37"/>
      <c r="F166" s="37"/>
      <c r="G166" s="7"/>
      <c r="H166" s="7"/>
      <c r="I166" s="7"/>
      <c r="J166" s="7"/>
      <c r="K166" s="7"/>
      <c r="L166" s="7"/>
      <c r="M166" s="7"/>
      <c r="N166" s="7"/>
      <c r="O166" s="7"/>
      <c r="P166" s="7"/>
      <c r="Q166" s="7"/>
      <c r="R166" s="7"/>
      <c r="S166" s="7"/>
      <c r="T166" s="7"/>
      <c r="U166" s="7"/>
      <c r="V166" s="7"/>
      <c r="W166" s="7"/>
      <c r="X166" s="7"/>
      <c r="Y166" s="7"/>
      <c r="Z166" s="7"/>
    </row>
    <row r="167" spans="1:26" ht="7.5" customHeight="1">
      <c r="A167" s="7"/>
      <c r="B167" s="36"/>
      <c r="C167" s="37"/>
      <c r="D167" s="37"/>
      <c r="E167" s="37"/>
      <c r="F167" s="37"/>
      <c r="G167" s="7"/>
      <c r="H167" s="7"/>
      <c r="I167" s="7"/>
      <c r="J167" s="7"/>
      <c r="K167" s="7"/>
      <c r="L167" s="7"/>
      <c r="M167" s="7"/>
      <c r="N167" s="7"/>
      <c r="O167" s="7"/>
      <c r="P167" s="7"/>
      <c r="Q167" s="7"/>
      <c r="R167" s="7"/>
      <c r="S167" s="7"/>
      <c r="T167" s="7"/>
      <c r="U167" s="7"/>
      <c r="V167" s="7"/>
      <c r="W167" s="7"/>
      <c r="X167" s="7"/>
      <c r="Y167" s="7"/>
      <c r="Z167" s="7"/>
    </row>
    <row r="168" spans="1:26" ht="7.5" customHeight="1">
      <c r="A168" s="7"/>
      <c r="B168" s="36"/>
      <c r="C168" s="37"/>
      <c r="D168" s="37"/>
      <c r="E168" s="37"/>
      <c r="F168" s="37"/>
      <c r="G168" s="7"/>
      <c r="H168" s="7"/>
      <c r="I168" s="7"/>
      <c r="J168" s="7"/>
      <c r="K168" s="7"/>
      <c r="L168" s="7"/>
      <c r="M168" s="7"/>
      <c r="N168" s="7"/>
      <c r="O168" s="7"/>
      <c r="P168" s="7"/>
      <c r="Q168" s="7"/>
      <c r="R168" s="7"/>
      <c r="S168" s="7"/>
      <c r="T168" s="7"/>
      <c r="U168" s="7"/>
      <c r="V168" s="7"/>
      <c r="W168" s="7"/>
      <c r="X168" s="7"/>
      <c r="Y168" s="7"/>
      <c r="Z168" s="7"/>
    </row>
    <row r="169" spans="1:26" ht="7.5" customHeight="1">
      <c r="A169" s="7"/>
      <c r="B169" s="36"/>
      <c r="C169" s="37"/>
      <c r="D169" s="37"/>
      <c r="E169" s="37"/>
      <c r="F169" s="37"/>
      <c r="G169" s="7"/>
      <c r="H169" s="7"/>
      <c r="I169" s="7"/>
      <c r="J169" s="7"/>
      <c r="K169" s="7"/>
      <c r="L169" s="7"/>
      <c r="M169" s="7"/>
      <c r="N169" s="7"/>
      <c r="O169" s="7"/>
      <c r="P169" s="7"/>
      <c r="Q169" s="7"/>
      <c r="R169" s="7"/>
      <c r="S169" s="7"/>
      <c r="T169" s="7"/>
      <c r="U169" s="7"/>
      <c r="V169" s="7"/>
      <c r="W169" s="7"/>
      <c r="X169" s="7"/>
      <c r="Y169" s="7"/>
      <c r="Z169" s="7"/>
    </row>
    <row r="170" spans="1:26" ht="7.5" customHeight="1">
      <c r="A170" s="7"/>
      <c r="B170" s="36"/>
      <c r="C170" s="37"/>
      <c r="D170" s="37"/>
      <c r="E170" s="37"/>
      <c r="F170" s="37"/>
      <c r="G170" s="7"/>
      <c r="H170" s="7"/>
      <c r="I170" s="7"/>
      <c r="J170" s="7"/>
      <c r="K170" s="7"/>
      <c r="L170" s="7"/>
      <c r="M170" s="7"/>
      <c r="N170" s="7"/>
      <c r="O170" s="7"/>
      <c r="P170" s="7"/>
      <c r="Q170" s="7"/>
      <c r="R170" s="7"/>
      <c r="S170" s="7"/>
      <c r="T170" s="7"/>
      <c r="U170" s="7"/>
      <c r="V170" s="7"/>
      <c r="W170" s="7"/>
      <c r="X170" s="7"/>
      <c r="Y170" s="7"/>
      <c r="Z170" s="7"/>
    </row>
    <row r="171" spans="1:26" ht="7.5" customHeight="1">
      <c r="A171" s="7"/>
      <c r="B171" s="36"/>
      <c r="C171" s="37"/>
      <c r="D171" s="37"/>
      <c r="E171" s="37"/>
      <c r="F171" s="37"/>
      <c r="G171" s="7"/>
      <c r="H171" s="7"/>
      <c r="I171" s="7"/>
      <c r="J171" s="7"/>
      <c r="K171" s="7"/>
      <c r="L171" s="7"/>
      <c r="M171" s="7"/>
      <c r="N171" s="7"/>
      <c r="O171" s="7"/>
      <c r="P171" s="7"/>
      <c r="Q171" s="7"/>
      <c r="R171" s="7"/>
      <c r="S171" s="7"/>
      <c r="T171" s="7"/>
      <c r="U171" s="7"/>
      <c r="V171" s="7"/>
      <c r="W171" s="7"/>
      <c r="X171" s="7"/>
      <c r="Y171" s="7"/>
      <c r="Z171" s="7"/>
    </row>
    <row r="172" spans="1:26" ht="7.5" customHeight="1">
      <c r="A172" s="7"/>
      <c r="B172" s="36"/>
      <c r="C172" s="37"/>
      <c r="D172" s="37"/>
      <c r="E172" s="37"/>
      <c r="F172" s="37"/>
      <c r="G172" s="7"/>
      <c r="H172" s="7"/>
      <c r="I172" s="7"/>
      <c r="J172" s="7"/>
      <c r="K172" s="7"/>
      <c r="L172" s="7"/>
      <c r="M172" s="7"/>
      <c r="N172" s="7"/>
      <c r="O172" s="7"/>
      <c r="P172" s="7"/>
      <c r="Q172" s="7"/>
      <c r="R172" s="7"/>
      <c r="S172" s="7"/>
      <c r="T172" s="7"/>
      <c r="U172" s="7"/>
      <c r="V172" s="7"/>
      <c r="W172" s="7"/>
      <c r="X172" s="7"/>
      <c r="Y172" s="7"/>
      <c r="Z172" s="7"/>
    </row>
    <row r="173" spans="1:26" ht="7.5" customHeight="1">
      <c r="A173" s="7"/>
      <c r="B173" s="36"/>
      <c r="C173" s="37"/>
      <c r="D173" s="37"/>
      <c r="E173" s="37"/>
      <c r="F173" s="37"/>
      <c r="G173" s="7"/>
      <c r="H173" s="7"/>
      <c r="I173" s="7"/>
      <c r="J173" s="7"/>
      <c r="K173" s="7"/>
      <c r="L173" s="7"/>
      <c r="M173" s="7"/>
      <c r="N173" s="7"/>
      <c r="O173" s="7"/>
      <c r="P173" s="7"/>
      <c r="Q173" s="7"/>
      <c r="R173" s="7"/>
      <c r="S173" s="7"/>
      <c r="T173" s="7"/>
      <c r="U173" s="7"/>
      <c r="V173" s="7"/>
      <c r="W173" s="7"/>
      <c r="X173" s="7"/>
      <c r="Y173" s="7"/>
      <c r="Z173" s="7"/>
    </row>
    <row r="174" spans="1:26" ht="7.5" customHeight="1">
      <c r="A174" s="7"/>
      <c r="B174" s="36"/>
      <c r="C174" s="37"/>
      <c r="D174" s="37"/>
      <c r="E174" s="37"/>
      <c r="F174" s="37"/>
      <c r="G174" s="7"/>
      <c r="H174" s="7"/>
      <c r="I174" s="7"/>
      <c r="J174" s="7"/>
      <c r="K174" s="7"/>
      <c r="L174" s="7"/>
      <c r="M174" s="7"/>
      <c r="N174" s="7"/>
      <c r="O174" s="7"/>
      <c r="P174" s="7"/>
      <c r="Q174" s="7"/>
      <c r="R174" s="7"/>
      <c r="S174" s="7"/>
      <c r="T174" s="7"/>
      <c r="U174" s="7"/>
      <c r="V174" s="7"/>
      <c r="W174" s="7"/>
      <c r="X174" s="7"/>
      <c r="Y174" s="7"/>
      <c r="Z174" s="7"/>
    </row>
    <row r="175" spans="1:26" ht="7.5" customHeight="1">
      <c r="A175" s="7"/>
      <c r="B175" s="36"/>
      <c r="C175" s="37"/>
      <c r="D175" s="37"/>
      <c r="E175" s="37"/>
      <c r="F175" s="37"/>
      <c r="G175" s="7"/>
      <c r="H175" s="7"/>
      <c r="I175" s="7"/>
      <c r="J175" s="7"/>
      <c r="K175" s="7"/>
      <c r="L175" s="7"/>
      <c r="M175" s="7"/>
      <c r="N175" s="7"/>
      <c r="O175" s="7"/>
      <c r="P175" s="7"/>
      <c r="Q175" s="7"/>
      <c r="R175" s="7"/>
      <c r="S175" s="7"/>
      <c r="T175" s="7"/>
      <c r="U175" s="7"/>
      <c r="V175" s="7"/>
      <c r="W175" s="7"/>
      <c r="X175" s="7"/>
      <c r="Y175" s="7"/>
      <c r="Z175" s="7"/>
    </row>
    <row r="176" spans="1:26" ht="7.5" customHeight="1">
      <c r="A176" s="7"/>
      <c r="B176" s="36"/>
      <c r="C176" s="37"/>
      <c r="D176" s="37"/>
      <c r="E176" s="37"/>
      <c r="F176" s="37"/>
      <c r="G176" s="7"/>
      <c r="H176" s="7"/>
      <c r="I176" s="7"/>
      <c r="J176" s="7"/>
      <c r="K176" s="7"/>
      <c r="L176" s="7"/>
      <c r="M176" s="7"/>
      <c r="N176" s="7"/>
      <c r="O176" s="7"/>
      <c r="P176" s="7"/>
      <c r="Q176" s="7"/>
      <c r="R176" s="7"/>
      <c r="S176" s="7"/>
      <c r="T176" s="7"/>
      <c r="U176" s="7"/>
      <c r="V176" s="7"/>
      <c r="W176" s="7"/>
      <c r="X176" s="7"/>
      <c r="Y176" s="7"/>
      <c r="Z176" s="7"/>
    </row>
    <row r="177" spans="1:26" ht="7.5" customHeight="1">
      <c r="A177" s="7"/>
      <c r="B177" s="36"/>
      <c r="C177" s="37"/>
      <c r="D177" s="37"/>
      <c r="E177" s="37"/>
      <c r="F177" s="37"/>
      <c r="G177" s="7"/>
      <c r="H177" s="7"/>
      <c r="I177" s="7"/>
      <c r="J177" s="7"/>
      <c r="K177" s="7"/>
      <c r="L177" s="7"/>
      <c r="M177" s="7"/>
      <c r="N177" s="7"/>
      <c r="O177" s="7"/>
      <c r="P177" s="7"/>
      <c r="Q177" s="7"/>
      <c r="R177" s="7"/>
      <c r="S177" s="7"/>
      <c r="T177" s="7"/>
      <c r="U177" s="7"/>
      <c r="V177" s="7"/>
      <c r="W177" s="7"/>
      <c r="X177" s="7"/>
      <c r="Y177" s="7"/>
      <c r="Z177" s="7"/>
    </row>
    <row r="178" spans="1:26" ht="7.5" customHeight="1">
      <c r="A178" s="7"/>
      <c r="B178" s="36"/>
      <c r="C178" s="37"/>
      <c r="D178" s="37"/>
      <c r="E178" s="37"/>
      <c r="F178" s="37"/>
      <c r="G178" s="7"/>
      <c r="H178" s="7"/>
      <c r="I178" s="7"/>
      <c r="J178" s="7"/>
      <c r="K178" s="7"/>
      <c r="L178" s="7"/>
      <c r="M178" s="7"/>
      <c r="N178" s="7"/>
      <c r="O178" s="7"/>
      <c r="P178" s="7"/>
      <c r="Q178" s="7"/>
      <c r="R178" s="7"/>
      <c r="S178" s="7"/>
      <c r="T178" s="7"/>
      <c r="U178" s="7"/>
      <c r="V178" s="7"/>
      <c r="W178" s="7"/>
      <c r="X178" s="7"/>
      <c r="Y178" s="7"/>
      <c r="Z178" s="7"/>
    </row>
    <row r="179" spans="1:26" ht="7.5" customHeight="1">
      <c r="A179" s="7"/>
      <c r="B179" s="36"/>
      <c r="C179" s="37"/>
      <c r="D179" s="37"/>
      <c r="E179" s="37"/>
      <c r="F179" s="37"/>
      <c r="G179" s="7"/>
      <c r="H179" s="7"/>
      <c r="I179" s="7"/>
      <c r="J179" s="7"/>
      <c r="K179" s="7"/>
      <c r="L179" s="7"/>
      <c r="M179" s="7"/>
      <c r="N179" s="7"/>
      <c r="O179" s="7"/>
      <c r="P179" s="7"/>
      <c r="Q179" s="7"/>
      <c r="R179" s="7"/>
      <c r="S179" s="7"/>
      <c r="T179" s="7"/>
      <c r="U179" s="7"/>
      <c r="V179" s="7"/>
      <c r="W179" s="7"/>
      <c r="X179" s="7"/>
      <c r="Y179" s="7"/>
      <c r="Z179" s="7"/>
    </row>
    <row r="180" spans="1:26" ht="7.5" customHeight="1">
      <c r="A180" s="7"/>
      <c r="B180" s="36"/>
      <c r="C180" s="37"/>
      <c r="D180" s="37"/>
      <c r="E180" s="37"/>
      <c r="F180" s="37"/>
      <c r="G180" s="7"/>
      <c r="H180" s="7"/>
      <c r="I180" s="7"/>
      <c r="J180" s="7"/>
      <c r="K180" s="7"/>
      <c r="L180" s="7"/>
      <c r="M180" s="7"/>
      <c r="N180" s="7"/>
      <c r="O180" s="7"/>
      <c r="P180" s="7"/>
      <c r="Q180" s="7"/>
      <c r="R180" s="7"/>
      <c r="S180" s="7"/>
      <c r="T180" s="7"/>
      <c r="U180" s="7"/>
      <c r="V180" s="7"/>
      <c r="W180" s="7"/>
      <c r="X180" s="7"/>
      <c r="Y180" s="7"/>
      <c r="Z180" s="7"/>
    </row>
    <row r="181" spans="1:26" ht="7.5" customHeight="1">
      <c r="A181" s="7"/>
      <c r="B181" s="36"/>
      <c r="C181" s="37"/>
      <c r="D181" s="37"/>
      <c r="E181" s="37"/>
      <c r="F181" s="37"/>
      <c r="G181" s="7"/>
      <c r="H181" s="7"/>
      <c r="I181" s="7"/>
      <c r="J181" s="7"/>
      <c r="K181" s="7"/>
      <c r="L181" s="7"/>
      <c r="M181" s="7"/>
      <c r="N181" s="7"/>
      <c r="O181" s="7"/>
      <c r="P181" s="7"/>
      <c r="Q181" s="7"/>
      <c r="R181" s="7"/>
      <c r="S181" s="7"/>
      <c r="T181" s="7"/>
      <c r="U181" s="7"/>
      <c r="V181" s="7"/>
      <c r="W181" s="7"/>
      <c r="X181" s="7"/>
      <c r="Y181" s="7"/>
      <c r="Z181" s="7"/>
    </row>
    <row r="182" spans="1:26" ht="7.5" customHeight="1">
      <c r="A182" s="7"/>
      <c r="B182" s="36"/>
      <c r="C182" s="37"/>
      <c r="D182" s="37"/>
      <c r="E182" s="37"/>
      <c r="F182" s="37"/>
      <c r="G182" s="7"/>
      <c r="H182" s="7"/>
      <c r="I182" s="7"/>
      <c r="J182" s="7"/>
      <c r="K182" s="7"/>
      <c r="L182" s="7"/>
      <c r="M182" s="7"/>
      <c r="N182" s="7"/>
      <c r="O182" s="7"/>
      <c r="P182" s="7"/>
      <c r="Q182" s="7"/>
      <c r="R182" s="7"/>
      <c r="S182" s="7"/>
      <c r="T182" s="7"/>
      <c r="U182" s="7"/>
      <c r="V182" s="7"/>
      <c r="W182" s="7"/>
      <c r="X182" s="7"/>
      <c r="Y182" s="7"/>
      <c r="Z182" s="7"/>
    </row>
    <row r="183" spans="1:26" ht="7.5" customHeight="1">
      <c r="A183" s="7"/>
      <c r="B183" s="36"/>
      <c r="C183" s="37"/>
      <c r="D183" s="37"/>
      <c r="E183" s="37"/>
      <c r="F183" s="37"/>
      <c r="G183" s="7"/>
      <c r="H183" s="7"/>
      <c r="I183" s="7"/>
      <c r="J183" s="7"/>
      <c r="K183" s="7"/>
      <c r="L183" s="7"/>
      <c r="M183" s="7"/>
      <c r="N183" s="7"/>
      <c r="O183" s="7"/>
      <c r="P183" s="7"/>
      <c r="Q183" s="7"/>
      <c r="R183" s="7"/>
      <c r="S183" s="7"/>
      <c r="T183" s="7"/>
      <c r="U183" s="7"/>
      <c r="V183" s="7"/>
      <c r="W183" s="7"/>
      <c r="X183" s="7"/>
      <c r="Y183" s="7"/>
      <c r="Z183" s="7"/>
    </row>
    <row r="184" spans="1:26" ht="7.5" customHeight="1">
      <c r="A184" s="7"/>
      <c r="B184" s="36"/>
      <c r="C184" s="37"/>
      <c r="D184" s="37"/>
      <c r="E184" s="37"/>
      <c r="F184" s="37"/>
      <c r="G184" s="7"/>
      <c r="H184" s="7"/>
      <c r="I184" s="7"/>
      <c r="J184" s="7"/>
      <c r="K184" s="7"/>
      <c r="L184" s="7"/>
      <c r="M184" s="7"/>
      <c r="N184" s="7"/>
      <c r="O184" s="7"/>
      <c r="P184" s="7"/>
      <c r="Q184" s="7"/>
      <c r="R184" s="7"/>
      <c r="S184" s="7"/>
      <c r="T184" s="7"/>
      <c r="U184" s="7"/>
      <c r="V184" s="7"/>
      <c r="W184" s="7"/>
      <c r="X184" s="7"/>
      <c r="Y184" s="7"/>
      <c r="Z184" s="7"/>
    </row>
    <row r="185" spans="1:26" ht="7.5" customHeight="1">
      <c r="A185" s="7"/>
      <c r="B185" s="36"/>
      <c r="C185" s="37"/>
      <c r="D185" s="37"/>
      <c r="E185" s="37"/>
      <c r="F185" s="37"/>
      <c r="G185" s="7"/>
      <c r="H185" s="7"/>
      <c r="I185" s="7"/>
      <c r="J185" s="7"/>
      <c r="K185" s="7"/>
      <c r="L185" s="7"/>
      <c r="M185" s="7"/>
      <c r="N185" s="7"/>
      <c r="O185" s="7"/>
      <c r="P185" s="7"/>
      <c r="Q185" s="7"/>
      <c r="R185" s="7"/>
      <c r="S185" s="7"/>
      <c r="T185" s="7"/>
      <c r="U185" s="7"/>
      <c r="V185" s="7"/>
      <c r="W185" s="7"/>
      <c r="X185" s="7"/>
      <c r="Y185" s="7"/>
      <c r="Z185" s="7"/>
    </row>
    <row r="186" spans="1:26" ht="7.5" customHeight="1">
      <c r="A186" s="7"/>
      <c r="B186" s="36"/>
      <c r="C186" s="37"/>
      <c r="D186" s="37"/>
      <c r="E186" s="37"/>
      <c r="F186" s="37"/>
      <c r="G186" s="7"/>
      <c r="H186" s="7"/>
      <c r="I186" s="7"/>
      <c r="J186" s="7"/>
      <c r="K186" s="7"/>
      <c r="L186" s="7"/>
      <c r="M186" s="7"/>
      <c r="N186" s="7"/>
      <c r="O186" s="7"/>
      <c r="P186" s="7"/>
      <c r="Q186" s="7"/>
      <c r="R186" s="7"/>
      <c r="S186" s="7"/>
      <c r="T186" s="7"/>
      <c r="U186" s="7"/>
      <c r="V186" s="7"/>
      <c r="W186" s="7"/>
      <c r="X186" s="7"/>
      <c r="Y186" s="7"/>
      <c r="Z186" s="7"/>
    </row>
    <row r="187" spans="1:26" ht="7.5" customHeight="1">
      <c r="A187" s="7"/>
      <c r="B187" s="36"/>
      <c r="C187" s="37"/>
      <c r="D187" s="37"/>
      <c r="E187" s="37"/>
      <c r="F187" s="37"/>
      <c r="G187" s="7"/>
      <c r="H187" s="7"/>
      <c r="I187" s="7"/>
      <c r="J187" s="7"/>
      <c r="K187" s="7"/>
      <c r="L187" s="7"/>
      <c r="M187" s="7"/>
      <c r="N187" s="7"/>
      <c r="O187" s="7"/>
      <c r="P187" s="7"/>
      <c r="Q187" s="7"/>
      <c r="R187" s="7"/>
      <c r="S187" s="7"/>
      <c r="T187" s="7"/>
      <c r="U187" s="7"/>
      <c r="V187" s="7"/>
      <c r="W187" s="7"/>
      <c r="X187" s="7"/>
      <c r="Y187" s="7"/>
      <c r="Z187" s="7"/>
    </row>
    <row r="188" spans="1:26" ht="7.5" customHeight="1">
      <c r="A188" s="7"/>
      <c r="B188" s="36"/>
      <c r="C188" s="37"/>
      <c r="D188" s="37"/>
      <c r="E188" s="37"/>
      <c r="F188" s="37"/>
      <c r="G188" s="7"/>
      <c r="H188" s="7"/>
      <c r="I188" s="7"/>
      <c r="J188" s="7"/>
      <c r="K188" s="7"/>
      <c r="L188" s="7"/>
      <c r="M188" s="7"/>
      <c r="N188" s="7"/>
      <c r="O188" s="7"/>
      <c r="P188" s="7"/>
      <c r="Q188" s="7"/>
      <c r="R188" s="7"/>
      <c r="S188" s="7"/>
      <c r="T188" s="7"/>
      <c r="U188" s="7"/>
      <c r="V188" s="7"/>
      <c r="W188" s="7"/>
      <c r="X188" s="7"/>
      <c r="Y188" s="7"/>
      <c r="Z188" s="7"/>
    </row>
    <row r="189" spans="1:26" ht="7.5" customHeight="1">
      <c r="A189" s="7"/>
      <c r="B189" s="36"/>
      <c r="C189" s="37"/>
      <c r="D189" s="37"/>
      <c r="E189" s="37"/>
      <c r="F189" s="37"/>
      <c r="G189" s="7"/>
      <c r="H189" s="7"/>
      <c r="I189" s="7"/>
      <c r="J189" s="7"/>
      <c r="K189" s="7"/>
      <c r="L189" s="7"/>
      <c r="M189" s="7"/>
      <c r="N189" s="7"/>
      <c r="O189" s="7"/>
      <c r="P189" s="7"/>
      <c r="Q189" s="7"/>
      <c r="R189" s="7"/>
      <c r="S189" s="7"/>
      <c r="T189" s="7"/>
      <c r="U189" s="7"/>
      <c r="V189" s="7"/>
      <c r="W189" s="7"/>
      <c r="X189" s="7"/>
      <c r="Y189" s="7"/>
      <c r="Z189" s="7"/>
    </row>
    <row r="190" spans="1:26" ht="7.5" customHeight="1">
      <c r="A190" s="7"/>
      <c r="B190" s="36"/>
      <c r="C190" s="37"/>
      <c r="D190" s="37"/>
      <c r="E190" s="37"/>
      <c r="F190" s="37"/>
      <c r="G190" s="7"/>
      <c r="H190" s="7"/>
      <c r="I190" s="7"/>
      <c r="J190" s="7"/>
      <c r="K190" s="7"/>
      <c r="L190" s="7"/>
      <c r="M190" s="7"/>
      <c r="N190" s="7"/>
      <c r="O190" s="7"/>
      <c r="P190" s="7"/>
      <c r="Q190" s="7"/>
      <c r="R190" s="7"/>
      <c r="S190" s="7"/>
      <c r="T190" s="7"/>
      <c r="U190" s="7"/>
      <c r="V190" s="7"/>
      <c r="W190" s="7"/>
      <c r="X190" s="7"/>
      <c r="Y190" s="7"/>
      <c r="Z190" s="7"/>
    </row>
    <row r="191" spans="1:26" ht="7.5" customHeight="1">
      <c r="A191" s="7"/>
      <c r="B191" s="36"/>
      <c r="C191" s="37"/>
      <c r="D191" s="37"/>
      <c r="E191" s="37"/>
      <c r="F191" s="37"/>
      <c r="G191" s="7"/>
      <c r="H191" s="7"/>
      <c r="I191" s="7"/>
      <c r="J191" s="7"/>
      <c r="K191" s="7"/>
      <c r="L191" s="7"/>
      <c r="M191" s="7"/>
      <c r="N191" s="7"/>
      <c r="O191" s="7"/>
      <c r="P191" s="7"/>
      <c r="Q191" s="7"/>
      <c r="R191" s="7"/>
      <c r="S191" s="7"/>
      <c r="T191" s="7"/>
      <c r="U191" s="7"/>
      <c r="V191" s="7"/>
      <c r="W191" s="7"/>
      <c r="X191" s="7"/>
      <c r="Y191" s="7"/>
      <c r="Z191" s="7"/>
    </row>
    <row r="192" spans="1:26" ht="7.5" customHeight="1">
      <c r="A192" s="7"/>
      <c r="B192" s="36"/>
      <c r="C192" s="37"/>
      <c r="D192" s="37"/>
      <c r="E192" s="37"/>
      <c r="F192" s="37"/>
      <c r="G192" s="7"/>
      <c r="H192" s="7"/>
      <c r="I192" s="7"/>
      <c r="J192" s="7"/>
      <c r="K192" s="7"/>
      <c r="L192" s="7"/>
      <c r="M192" s="7"/>
      <c r="N192" s="7"/>
      <c r="O192" s="7"/>
      <c r="P192" s="7"/>
      <c r="Q192" s="7"/>
      <c r="R192" s="7"/>
      <c r="S192" s="7"/>
      <c r="T192" s="7"/>
      <c r="U192" s="7"/>
      <c r="V192" s="7"/>
      <c r="W192" s="7"/>
      <c r="X192" s="7"/>
      <c r="Y192" s="7"/>
      <c r="Z192" s="7"/>
    </row>
    <row r="193" spans="1:26" ht="7.5" customHeight="1">
      <c r="A193" s="7"/>
      <c r="B193" s="36"/>
      <c r="C193" s="37"/>
      <c r="D193" s="37"/>
      <c r="E193" s="37"/>
      <c r="F193" s="37"/>
      <c r="G193" s="7"/>
      <c r="H193" s="7"/>
      <c r="I193" s="7"/>
      <c r="J193" s="7"/>
      <c r="K193" s="7"/>
      <c r="L193" s="7"/>
      <c r="M193" s="7"/>
      <c r="N193" s="7"/>
      <c r="O193" s="7"/>
      <c r="P193" s="7"/>
      <c r="Q193" s="7"/>
      <c r="R193" s="7"/>
      <c r="S193" s="7"/>
      <c r="T193" s="7"/>
      <c r="U193" s="7"/>
      <c r="V193" s="7"/>
      <c r="W193" s="7"/>
      <c r="X193" s="7"/>
      <c r="Y193" s="7"/>
      <c r="Z193" s="7"/>
    </row>
    <row r="194" spans="1:26" ht="7.5" customHeight="1">
      <c r="A194" s="7"/>
      <c r="B194" s="36"/>
      <c r="C194" s="37"/>
      <c r="D194" s="37"/>
      <c r="E194" s="37"/>
      <c r="F194" s="37"/>
      <c r="G194" s="7"/>
      <c r="H194" s="7"/>
      <c r="I194" s="7"/>
      <c r="J194" s="7"/>
      <c r="K194" s="7"/>
      <c r="L194" s="7"/>
      <c r="M194" s="7"/>
      <c r="N194" s="7"/>
      <c r="O194" s="7"/>
      <c r="P194" s="7"/>
      <c r="Q194" s="7"/>
      <c r="R194" s="7"/>
      <c r="S194" s="7"/>
      <c r="T194" s="7"/>
      <c r="U194" s="7"/>
      <c r="V194" s="7"/>
      <c r="W194" s="7"/>
      <c r="X194" s="7"/>
      <c r="Y194" s="7"/>
      <c r="Z194" s="7"/>
    </row>
    <row r="195" spans="1:26" ht="7.5" customHeight="1">
      <c r="A195" s="7"/>
      <c r="B195" s="36"/>
      <c r="C195" s="37"/>
      <c r="D195" s="37"/>
      <c r="E195" s="37"/>
      <c r="F195" s="37"/>
      <c r="G195" s="7"/>
      <c r="H195" s="7"/>
      <c r="I195" s="7"/>
      <c r="J195" s="7"/>
      <c r="K195" s="7"/>
      <c r="L195" s="7"/>
      <c r="M195" s="7"/>
      <c r="N195" s="7"/>
      <c r="O195" s="7"/>
      <c r="P195" s="7"/>
      <c r="Q195" s="7"/>
      <c r="R195" s="7"/>
      <c r="S195" s="7"/>
      <c r="T195" s="7"/>
      <c r="U195" s="7"/>
      <c r="V195" s="7"/>
      <c r="W195" s="7"/>
      <c r="X195" s="7"/>
      <c r="Y195" s="7"/>
      <c r="Z195" s="7"/>
    </row>
    <row r="196" spans="1:26" ht="7.5" customHeight="1">
      <c r="A196" s="7"/>
      <c r="B196" s="36"/>
      <c r="C196" s="37"/>
      <c r="D196" s="37"/>
      <c r="E196" s="37"/>
      <c r="F196" s="37"/>
      <c r="G196" s="7"/>
      <c r="H196" s="7"/>
      <c r="I196" s="7"/>
      <c r="J196" s="7"/>
      <c r="K196" s="7"/>
      <c r="L196" s="7"/>
      <c r="M196" s="7"/>
      <c r="N196" s="7"/>
      <c r="O196" s="7"/>
      <c r="P196" s="7"/>
      <c r="Q196" s="7"/>
      <c r="R196" s="7"/>
      <c r="S196" s="7"/>
      <c r="T196" s="7"/>
      <c r="U196" s="7"/>
      <c r="V196" s="7"/>
      <c r="W196" s="7"/>
      <c r="X196" s="7"/>
      <c r="Y196" s="7"/>
      <c r="Z196" s="7"/>
    </row>
    <row r="197" spans="1:26" ht="7.5" customHeight="1">
      <c r="A197" s="7"/>
      <c r="B197" s="36"/>
      <c r="C197" s="37"/>
      <c r="D197" s="37"/>
      <c r="E197" s="37"/>
      <c r="F197" s="37"/>
      <c r="G197" s="7"/>
      <c r="H197" s="7"/>
      <c r="I197" s="7"/>
      <c r="J197" s="7"/>
      <c r="K197" s="7"/>
      <c r="L197" s="7"/>
      <c r="M197" s="7"/>
      <c r="N197" s="7"/>
      <c r="O197" s="7"/>
      <c r="P197" s="7"/>
      <c r="Q197" s="7"/>
      <c r="R197" s="7"/>
      <c r="S197" s="7"/>
      <c r="T197" s="7"/>
      <c r="U197" s="7"/>
      <c r="V197" s="7"/>
      <c r="W197" s="7"/>
      <c r="X197" s="7"/>
      <c r="Y197" s="7"/>
      <c r="Z197" s="7"/>
    </row>
    <row r="198" spans="1:26" ht="7.5" customHeight="1">
      <c r="A198" s="7"/>
      <c r="B198" s="36"/>
      <c r="C198" s="37"/>
      <c r="D198" s="37"/>
      <c r="E198" s="37"/>
      <c r="F198" s="37"/>
      <c r="G198" s="7"/>
      <c r="H198" s="7"/>
      <c r="I198" s="7"/>
      <c r="J198" s="7"/>
      <c r="K198" s="7"/>
      <c r="L198" s="7"/>
      <c r="M198" s="7"/>
      <c r="N198" s="7"/>
      <c r="O198" s="7"/>
      <c r="P198" s="7"/>
      <c r="Q198" s="7"/>
      <c r="R198" s="7"/>
      <c r="S198" s="7"/>
      <c r="T198" s="7"/>
      <c r="U198" s="7"/>
      <c r="V198" s="7"/>
      <c r="W198" s="7"/>
      <c r="X198" s="7"/>
      <c r="Y198" s="7"/>
      <c r="Z198" s="7"/>
    </row>
    <row r="199" spans="1:26" ht="7.5" customHeight="1">
      <c r="A199" s="7"/>
      <c r="B199" s="36"/>
      <c r="C199" s="37"/>
      <c r="D199" s="37"/>
      <c r="E199" s="37"/>
      <c r="F199" s="37"/>
      <c r="G199" s="7"/>
      <c r="H199" s="7"/>
      <c r="I199" s="7"/>
      <c r="J199" s="7"/>
      <c r="K199" s="7"/>
      <c r="L199" s="7"/>
      <c r="M199" s="7"/>
      <c r="N199" s="7"/>
      <c r="O199" s="7"/>
      <c r="P199" s="7"/>
      <c r="Q199" s="7"/>
      <c r="R199" s="7"/>
      <c r="S199" s="7"/>
      <c r="T199" s="7"/>
      <c r="U199" s="7"/>
      <c r="V199" s="7"/>
      <c r="W199" s="7"/>
      <c r="X199" s="7"/>
      <c r="Y199" s="7"/>
      <c r="Z199" s="7"/>
    </row>
    <row r="200" spans="1:26" ht="7.5" customHeight="1">
      <c r="A200" s="7"/>
      <c r="B200" s="36"/>
      <c r="C200" s="37"/>
      <c r="D200" s="37"/>
      <c r="E200" s="37"/>
      <c r="F200" s="37"/>
      <c r="G200" s="7"/>
      <c r="H200" s="7"/>
      <c r="I200" s="7"/>
      <c r="J200" s="7"/>
      <c r="K200" s="7"/>
      <c r="L200" s="7"/>
      <c r="M200" s="7"/>
      <c r="N200" s="7"/>
      <c r="O200" s="7"/>
      <c r="P200" s="7"/>
      <c r="Q200" s="7"/>
      <c r="R200" s="7"/>
      <c r="S200" s="7"/>
      <c r="T200" s="7"/>
      <c r="U200" s="7"/>
      <c r="V200" s="7"/>
      <c r="W200" s="7"/>
      <c r="X200" s="7"/>
      <c r="Y200" s="7"/>
      <c r="Z200" s="7"/>
    </row>
    <row r="201" spans="1:26" ht="7.5" customHeight="1">
      <c r="A201" s="7"/>
      <c r="B201" s="36"/>
      <c r="C201" s="37"/>
      <c r="D201" s="37"/>
      <c r="E201" s="37"/>
      <c r="F201" s="37"/>
      <c r="G201" s="7"/>
      <c r="H201" s="7"/>
      <c r="I201" s="7"/>
      <c r="J201" s="7"/>
      <c r="K201" s="7"/>
      <c r="L201" s="7"/>
      <c r="M201" s="7"/>
      <c r="N201" s="7"/>
      <c r="O201" s="7"/>
      <c r="P201" s="7"/>
      <c r="Q201" s="7"/>
      <c r="R201" s="7"/>
      <c r="S201" s="7"/>
      <c r="T201" s="7"/>
      <c r="U201" s="7"/>
      <c r="V201" s="7"/>
      <c r="W201" s="7"/>
      <c r="X201" s="7"/>
      <c r="Y201" s="7"/>
      <c r="Z201" s="7"/>
    </row>
    <row r="202" spans="1:26" ht="7.5" customHeight="1">
      <c r="A202" s="7"/>
      <c r="B202" s="36"/>
      <c r="C202" s="37"/>
      <c r="D202" s="37"/>
      <c r="E202" s="37"/>
      <c r="F202" s="37"/>
      <c r="G202" s="7"/>
      <c r="H202" s="7"/>
      <c r="I202" s="7"/>
      <c r="J202" s="7"/>
      <c r="K202" s="7"/>
      <c r="L202" s="7"/>
      <c r="M202" s="7"/>
      <c r="N202" s="7"/>
      <c r="O202" s="7"/>
      <c r="P202" s="7"/>
      <c r="Q202" s="7"/>
      <c r="R202" s="7"/>
      <c r="S202" s="7"/>
      <c r="T202" s="7"/>
      <c r="U202" s="7"/>
      <c r="V202" s="7"/>
      <c r="W202" s="7"/>
      <c r="X202" s="7"/>
      <c r="Y202" s="7"/>
      <c r="Z202" s="7"/>
    </row>
    <row r="203" spans="1:26" ht="7.5" customHeight="1">
      <c r="A203" s="7"/>
      <c r="B203" s="36"/>
      <c r="C203" s="37"/>
      <c r="D203" s="37"/>
      <c r="E203" s="37"/>
      <c r="F203" s="37"/>
      <c r="G203" s="7"/>
      <c r="H203" s="7"/>
      <c r="I203" s="7"/>
      <c r="J203" s="7"/>
      <c r="K203" s="7"/>
      <c r="L203" s="7"/>
      <c r="M203" s="7"/>
      <c r="N203" s="7"/>
      <c r="O203" s="7"/>
      <c r="P203" s="7"/>
      <c r="Q203" s="7"/>
      <c r="R203" s="7"/>
      <c r="S203" s="7"/>
      <c r="T203" s="7"/>
      <c r="U203" s="7"/>
      <c r="V203" s="7"/>
      <c r="W203" s="7"/>
      <c r="X203" s="7"/>
      <c r="Y203" s="7"/>
      <c r="Z203" s="7"/>
    </row>
    <row r="204" spans="1:26" ht="7.5" customHeight="1">
      <c r="A204" s="7"/>
      <c r="B204" s="36"/>
      <c r="C204" s="37"/>
      <c r="D204" s="37"/>
      <c r="E204" s="37"/>
      <c r="F204" s="37"/>
      <c r="G204" s="7"/>
      <c r="H204" s="7"/>
      <c r="I204" s="7"/>
      <c r="J204" s="7"/>
      <c r="K204" s="7"/>
      <c r="L204" s="7"/>
      <c r="M204" s="7"/>
      <c r="N204" s="7"/>
      <c r="O204" s="7"/>
      <c r="P204" s="7"/>
      <c r="Q204" s="7"/>
      <c r="R204" s="7"/>
      <c r="S204" s="7"/>
      <c r="T204" s="7"/>
      <c r="U204" s="7"/>
      <c r="V204" s="7"/>
      <c r="W204" s="7"/>
      <c r="X204" s="7"/>
      <c r="Y204" s="7"/>
      <c r="Z204" s="7"/>
    </row>
    <row r="205" spans="1:26" ht="7.5" customHeight="1">
      <c r="A205" s="7"/>
      <c r="B205" s="36"/>
      <c r="C205" s="37"/>
      <c r="D205" s="37"/>
      <c r="E205" s="37"/>
      <c r="F205" s="37"/>
      <c r="G205" s="7"/>
      <c r="H205" s="7"/>
      <c r="I205" s="7"/>
      <c r="J205" s="7"/>
      <c r="K205" s="7"/>
      <c r="L205" s="7"/>
      <c r="M205" s="7"/>
      <c r="N205" s="7"/>
      <c r="O205" s="7"/>
      <c r="P205" s="7"/>
      <c r="Q205" s="7"/>
      <c r="R205" s="7"/>
      <c r="S205" s="7"/>
      <c r="T205" s="7"/>
      <c r="U205" s="7"/>
      <c r="V205" s="7"/>
      <c r="W205" s="7"/>
      <c r="X205" s="7"/>
      <c r="Y205" s="7"/>
      <c r="Z205" s="7"/>
    </row>
    <row r="206" spans="1:26" ht="7.5" customHeight="1">
      <c r="A206" s="7"/>
      <c r="B206" s="36"/>
      <c r="C206" s="37"/>
      <c r="D206" s="37"/>
      <c r="E206" s="37"/>
      <c r="F206" s="37"/>
      <c r="G206" s="7"/>
      <c r="H206" s="7"/>
      <c r="I206" s="7"/>
      <c r="J206" s="7"/>
      <c r="K206" s="7"/>
      <c r="L206" s="7"/>
      <c r="M206" s="7"/>
      <c r="N206" s="7"/>
      <c r="O206" s="7"/>
      <c r="P206" s="7"/>
      <c r="Q206" s="7"/>
      <c r="R206" s="7"/>
      <c r="S206" s="7"/>
      <c r="T206" s="7"/>
      <c r="U206" s="7"/>
      <c r="V206" s="7"/>
      <c r="W206" s="7"/>
      <c r="X206" s="7"/>
      <c r="Y206" s="7"/>
      <c r="Z206" s="7"/>
    </row>
    <row r="207" spans="1:26" ht="7.5" customHeight="1">
      <c r="A207" s="7"/>
      <c r="B207" s="36"/>
      <c r="C207" s="37"/>
      <c r="D207" s="37"/>
      <c r="E207" s="37"/>
      <c r="F207" s="37"/>
      <c r="G207" s="7"/>
      <c r="H207" s="7"/>
      <c r="I207" s="7"/>
      <c r="J207" s="7"/>
      <c r="K207" s="7"/>
      <c r="L207" s="7"/>
      <c r="M207" s="7"/>
      <c r="N207" s="7"/>
      <c r="O207" s="7"/>
      <c r="P207" s="7"/>
      <c r="Q207" s="7"/>
      <c r="R207" s="7"/>
      <c r="S207" s="7"/>
      <c r="T207" s="7"/>
      <c r="U207" s="7"/>
      <c r="V207" s="7"/>
      <c r="W207" s="7"/>
      <c r="X207" s="7"/>
      <c r="Y207" s="7"/>
      <c r="Z207" s="7"/>
    </row>
    <row r="208" spans="1:26" ht="7.5" customHeight="1">
      <c r="A208" s="7"/>
      <c r="B208" s="36"/>
      <c r="C208" s="37"/>
      <c r="D208" s="37"/>
      <c r="E208" s="37"/>
      <c r="F208" s="37"/>
      <c r="G208" s="7"/>
      <c r="H208" s="7"/>
      <c r="I208" s="7"/>
      <c r="J208" s="7"/>
      <c r="K208" s="7"/>
      <c r="L208" s="7"/>
      <c r="M208" s="7"/>
      <c r="N208" s="7"/>
      <c r="O208" s="7"/>
      <c r="P208" s="7"/>
      <c r="Q208" s="7"/>
      <c r="R208" s="7"/>
      <c r="S208" s="7"/>
      <c r="T208" s="7"/>
      <c r="U208" s="7"/>
      <c r="V208" s="7"/>
      <c r="W208" s="7"/>
      <c r="X208" s="7"/>
      <c r="Y208" s="7"/>
      <c r="Z208" s="7"/>
    </row>
    <row r="209" spans="1:26" ht="7.5" customHeight="1">
      <c r="A209" s="7"/>
      <c r="B209" s="36"/>
      <c r="C209" s="37"/>
      <c r="D209" s="37"/>
      <c r="E209" s="37"/>
      <c r="F209" s="37"/>
      <c r="G209" s="7"/>
      <c r="H209" s="7"/>
      <c r="I209" s="7"/>
      <c r="J209" s="7"/>
      <c r="K209" s="7"/>
      <c r="L209" s="7"/>
      <c r="M209" s="7"/>
      <c r="N209" s="7"/>
      <c r="O209" s="7"/>
      <c r="P209" s="7"/>
      <c r="Q209" s="7"/>
      <c r="R209" s="7"/>
      <c r="S209" s="7"/>
      <c r="T209" s="7"/>
      <c r="U209" s="7"/>
      <c r="V209" s="7"/>
      <c r="W209" s="7"/>
      <c r="X209" s="7"/>
      <c r="Y209" s="7"/>
      <c r="Z209" s="7"/>
    </row>
    <row r="210" spans="1:26" ht="7.5" customHeight="1">
      <c r="A210" s="7"/>
      <c r="B210" s="36"/>
      <c r="C210" s="37"/>
      <c r="D210" s="37"/>
      <c r="E210" s="37"/>
      <c r="F210" s="37"/>
      <c r="G210" s="7"/>
      <c r="H210" s="7"/>
      <c r="I210" s="7"/>
      <c r="J210" s="7"/>
      <c r="K210" s="7"/>
      <c r="L210" s="7"/>
      <c r="M210" s="7"/>
      <c r="N210" s="7"/>
      <c r="O210" s="7"/>
      <c r="P210" s="7"/>
      <c r="Q210" s="7"/>
      <c r="R210" s="7"/>
      <c r="S210" s="7"/>
      <c r="T210" s="7"/>
      <c r="U210" s="7"/>
      <c r="V210" s="7"/>
      <c r="W210" s="7"/>
      <c r="X210" s="7"/>
      <c r="Y210" s="7"/>
      <c r="Z210" s="7"/>
    </row>
    <row r="211" spans="1:26" ht="7.5" customHeight="1">
      <c r="A211" s="7"/>
      <c r="B211" s="36"/>
      <c r="C211" s="37"/>
      <c r="D211" s="37"/>
      <c r="E211" s="37"/>
      <c r="F211" s="37"/>
      <c r="G211" s="7"/>
      <c r="H211" s="7"/>
      <c r="I211" s="7"/>
      <c r="J211" s="7"/>
      <c r="K211" s="7"/>
      <c r="L211" s="7"/>
      <c r="M211" s="7"/>
      <c r="N211" s="7"/>
      <c r="O211" s="7"/>
      <c r="P211" s="7"/>
      <c r="Q211" s="7"/>
      <c r="R211" s="7"/>
      <c r="S211" s="7"/>
      <c r="T211" s="7"/>
      <c r="U211" s="7"/>
      <c r="V211" s="7"/>
      <c r="W211" s="7"/>
      <c r="X211" s="7"/>
      <c r="Y211" s="7"/>
      <c r="Z211" s="7"/>
    </row>
    <row r="212" spans="1:26" ht="7.5" customHeight="1">
      <c r="A212" s="7"/>
      <c r="B212" s="36"/>
      <c r="C212" s="37"/>
      <c r="D212" s="37"/>
      <c r="E212" s="37"/>
      <c r="F212" s="37"/>
      <c r="G212" s="7"/>
      <c r="H212" s="7"/>
      <c r="I212" s="7"/>
      <c r="J212" s="7"/>
      <c r="K212" s="7"/>
      <c r="L212" s="7"/>
      <c r="M212" s="7"/>
      <c r="N212" s="7"/>
      <c r="O212" s="7"/>
      <c r="P212" s="7"/>
      <c r="Q212" s="7"/>
      <c r="R212" s="7"/>
      <c r="S212" s="7"/>
      <c r="T212" s="7"/>
      <c r="U212" s="7"/>
      <c r="V212" s="7"/>
      <c r="W212" s="7"/>
      <c r="X212" s="7"/>
      <c r="Y212" s="7"/>
      <c r="Z212" s="7"/>
    </row>
    <row r="213" spans="1:26" ht="7.5" customHeight="1">
      <c r="A213" s="7"/>
      <c r="B213" s="36"/>
      <c r="C213" s="37"/>
      <c r="D213" s="37"/>
      <c r="E213" s="37"/>
      <c r="F213" s="37"/>
      <c r="G213" s="7"/>
      <c r="H213" s="7"/>
      <c r="I213" s="7"/>
      <c r="J213" s="7"/>
      <c r="K213" s="7"/>
      <c r="L213" s="7"/>
      <c r="M213" s="7"/>
      <c r="N213" s="7"/>
      <c r="O213" s="7"/>
      <c r="P213" s="7"/>
      <c r="Q213" s="7"/>
      <c r="R213" s="7"/>
      <c r="S213" s="7"/>
      <c r="T213" s="7"/>
      <c r="U213" s="7"/>
      <c r="V213" s="7"/>
      <c r="W213" s="7"/>
      <c r="X213" s="7"/>
      <c r="Y213" s="7"/>
      <c r="Z213" s="7"/>
    </row>
    <row r="214" spans="1:26" ht="7.5" customHeight="1">
      <c r="A214" s="7"/>
      <c r="B214" s="36"/>
      <c r="C214" s="37"/>
      <c r="D214" s="37"/>
      <c r="E214" s="37"/>
      <c r="F214" s="37"/>
      <c r="G214" s="7"/>
      <c r="H214" s="7"/>
      <c r="I214" s="7"/>
      <c r="J214" s="7"/>
      <c r="K214" s="7"/>
      <c r="L214" s="7"/>
      <c r="M214" s="7"/>
      <c r="N214" s="7"/>
      <c r="O214" s="7"/>
      <c r="P214" s="7"/>
      <c r="Q214" s="7"/>
      <c r="R214" s="7"/>
      <c r="S214" s="7"/>
      <c r="T214" s="7"/>
      <c r="U214" s="7"/>
      <c r="V214" s="7"/>
      <c r="W214" s="7"/>
      <c r="X214" s="7"/>
      <c r="Y214" s="7"/>
      <c r="Z214" s="7"/>
    </row>
    <row r="215" spans="1:26" ht="7.5" customHeight="1">
      <c r="A215" s="7"/>
      <c r="B215" s="36"/>
      <c r="C215" s="37"/>
      <c r="D215" s="37"/>
      <c r="E215" s="37"/>
      <c r="F215" s="37"/>
      <c r="G215" s="7"/>
      <c r="H215" s="7"/>
      <c r="I215" s="7"/>
      <c r="J215" s="7"/>
      <c r="K215" s="7"/>
      <c r="L215" s="7"/>
      <c r="M215" s="7"/>
      <c r="N215" s="7"/>
      <c r="O215" s="7"/>
      <c r="P215" s="7"/>
      <c r="Q215" s="7"/>
      <c r="R215" s="7"/>
      <c r="S215" s="7"/>
      <c r="T215" s="7"/>
      <c r="U215" s="7"/>
      <c r="V215" s="7"/>
      <c r="W215" s="7"/>
      <c r="X215" s="7"/>
      <c r="Y215" s="7"/>
      <c r="Z215" s="7"/>
    </row>
    <row r="216" spans="1:26" ht="7.5" customHeight="1">
      <c r="A216" s="7"/>
      <c r="B216" s="36"/>
      <c r="C216" s="37"/>
      <c r="D216" s="37"/>
      <c r="E216" s="37"/>
      <c r="F216" s="37"/>
      <c r="G216" s="7"/>
      <c r="H216" s="7"/>
      <c r="I216" s="7"/>
      <c r="J216" s="7"/>
      <c r="K216" s="7"/>
      <c r="L216" s="7"/>
      <c r="M216" s="7"/>
      <c r="N216" s="7"/>
      <c r="O216" s="7"/>
      <c r="P216" s="7"/>
      <c r="Q216" s="7"/>
      <c r="R216" s="7"/>
      <c r="S216" s="7"/>
      <c r="T216" s="7"/>
      <c r="U216" s="7"/>
      <c r="V216" s="7"/>
      <c r="W216" s="7"/>
      <c r="X216" s="7"/>
      <c r="Y216" s="7"/>
      <c r="Z216" s="7"/>
    </row>
    <row r="217" spans="1:26" ht="7.5" customHeight="1">
      <c r="A217" s="7"/>
      <c r="B217" s="36"/>
      <c r="C217" s="37"/>
      <c r="D217" s="37"/>
      <c r="E217" s="37"/>
      <c r="F217" s="37"/>
      <c r="G217" s="7"/>
      <c r="H217" s="7"/>
      <c r="I217" s="7"/>
      <c r="J217" s="7"/>
      <c r="K217" s="7"/>
      <c r="L217" s="7"/>
      <c r="M217" s="7"/>
      <c r="N217" s="7"/>
      <c r="O217" s="7"/>
      <c r="P217" s="7"/>
      <c r="Q217" s="7"/>
      <c r="R217" s="7"/>
      <c r="S217" s="7"/>
      <c r="T217" s="7"/>
      <c r="U217" s="7"/>
      <c r="V217" s="7"/>
      <c r="W217" s="7"/>
      <c r="X217" s="7"/>
      <c r="Y217" s="7"/>
      <c r="Z217" s="7"/>
    </row>
    <row r="218" spans="1:26" ht="7.5" customHeight="1">
      <c r="A218" s="7"/>
      <c r="B218" s="36"/>
      <c r="C218" s="37"/>
      <c r="D218" s="37"/>
      <c r="E218" s="37"/>
      <c r="F218" s="37"/>
      <c r="G218" s="7"/>
      <c r="H218" s="7"/>
      <c r="I218" s="7"/>
      <c r="J218" s="7"/>
      <c r="K218" s="7"/>
      <c r="L218" s="7"/>
      <c r="M218" s="7"/>
      <c r="N218" s="7"/>
      <c r="O218" s="7"/>
      <c r="P218" s="7"/>
      <c r="Q218" s="7"/>
      <c r="R218" s="7"/>
      <c r="S218" s="7"/>
      <c r="T218" s="7"/>
      <c r="U218" s="7"/>
      <c r="V218" s="7"/>
      <c r="W218" s="7"/>
      <c r="X218" s="7"/>
      <c r="Y218" s="7"/>
      <c r="Z218" s="7"/>
    </row>
    <row r="219" spans="1:26" ht="7.5" customHeight="1">
      <c r="A219" s="7"/>
      <c r="B219" s="36"/>
      <c r="C219" s="37"/>
      <c r="D219" s="37"/>
      <c r="E219" s="37"/>
      <c r="F219" s="37"/>
      <c r="G219" s="7"/>
      <c r="H219" s="7"/>
      <c r="I219" s="7"/>
      <c r="J219" s="7"/>
      <c r="K219" s="7"/>
      <c r="L219" s="7"/>
      <c r="M219" s="7"/>
      <c r="N219" s="7"/>
      <c r="O219" s="7"/>
      <c r="P219" s="7"/>
      <c r="Q219" s="7"/>
      <c r="R219" s="7"/>
      <c r="S219" s="7"/>
      <c r="T219" s="7"/>
      <c r="U219" s="7"/>
      <c r="V219" s="7"/>
      <c r="W219" s="7"/>
      <c r="X219" s="7"/>
      <c r="Y219" s="7"/>
      <c r="Z219" s="7"/>
    </row>
    <row r="220" spans="1:26" ht="7.5" customHeight="1">
      <c r="A220" s="7"/>
      <c r="B220" s="36"/>
      <c r="C220" s="37"/>
      <c r="D220" s="37"/>
      <c r="E220" s="37"/>
      <c r="F220" s="37"/>
      <c r="G220" s="7"/>
      <c r="H220" s="7"/>
      <c r="I220" s="7"/>
      <c r="J220" s="7"/>
      <c r="K220" s="7"/>
      <c r="L220" s="7"/>
      <c r="M220" s="7"/>
      <c r="N220" s="7"/>
      <c r="O220" s="7"/>
      <c r="P220" s="7"/>
      <c r="Q220" s="7"/>
      <c r="R220" s="7"/>
      <c r="S220" s="7"/>
      <c r="T220" s="7"/>
      <c r="U220" s="7"/>
      <c r="V220" s="7"/>
      <c r="W220" s="7"/>
      <c r="X220" s="7"/>
      <c r="Y220" s="7"/>
      <c r="Z220" s="7"/>
    </row>
    <row r="221" spans="1:26" ht="14.25" customHeight="1"/>
    <row r="222" spans="1:26" ht="14.25" customHeight="1"/>
    <row r="223" spans="1:26" ht="14.25" customHeight="1"/>
    <row r="224" spans="1:26"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3:C3"/>
    <mergeCell ref="D3:F3"/>
    <mergeCell ref="B4:C4"/>
    <mergeCell ref="D4:F4"/>
    <mergeCell ref="B5:C5"/>
    <mergeCell ref="D5:F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cols>
    <col min="1" max="1" width="18.88671875" customWidth="1"/>
    <col min="2" max="2" width="19.5546875" customWidth="1"/>
    <col min="3" max="3" width="35.109375" customWidth="1"/>
    <col min="4" max="4" width="60" customWidth="1"/>
    <col min="5" max="5" width="12.33203125" customWidth="1"/>
    <col min="6" max="6" width="31.44140625" customWidth="1"/>
    <col min="7" max="26" width="9.109375" customWidth="1"/>
  </cols>
  <sheetData>
    <row r="1" spans="1:26" ht="28.2">
      <c r="A1" s="77" t="s">
        <v>91</v>
      </c>
      <c r="B1" s="77" t="s">
        <v>92</v>
      </c>
      <c r="C1" s="77" t="s">
        <v>93</v>
      </c>
      <c r="D1" s="77" t="s">
        <v>94</v>
      </c>
      <c r="E1" s="77" t="s">
        <v>95</v>
      </c>
      <c r="F1" s="77" t="s">
        <v>96</v>
      </c>
      <c r="G1" s="78"/>
      <c r="H1" s="78"/>
      <c r="I1" s="78"/>
      <c r="J1" s="78"/>
      <c r="K1" s="78"/>
      <c r="L1" s="78"/>
      <c r="M1" s="78"/>
      <c r="N1" s="78"/>
      <c r="O1" s="78"/>
      <c r="P1" s="78"/>
      <c r="Q1" s="78"/>
      <c r="R1" s="78"/>
      <c r="S1" s="78"/>
      <c r="T1" s="78"/>
      <c r="U1" s="78"/>
      <c r="V1" s="78"/>
      <c r="W1" s="78"/>
      <c r="X1" s="78"/>
      <c r="Y1" s="78"/>
      <c r="Z1" s="78"/>
    </row>
    <row r="2" spans="1:26" ht="14.4">
      <c r="A2" s="79" t="s">
        <v>97</v>
      </c>
      <c r="B2" s="79" t="s">
        <v>98</v>
      </c>
      <c r="C2" s="79" t="s">
        <v>99</v>
      </c>
      <c r="D2" s="80" t="s">
        <v>100</v>
      </c>
      <c r="E2" s="80" t="s">
        <v>101</v>
      </c>
      <c r="F2" s="81"/>
      <c r="G2" s="78"/>
      <c r="H2" s="78"/>
      <c r="I2" s="78"/>
      <c r="J2" s="78"/>
      <c r="K2" s="78"/>
      <c r="L2" s="78"/>
      <c r="M2" s="78"/>
      <c r="N2" s="78"/>
      <c r="O2" s="78"/>
      <c r="P2" s="78"/>
      <c r="Q2" s="78"/>
      <c r="R2" s="78"/>
      <c r="S2" s="78"/>
      <c r="T2" s="78"/>
      <c r="U2" s="78"/>
      <c r="V2" s="78"/>
      <c r="W2" s="78"/>
      <c r="X2" s="78"/>
      <c r="Y2" s="78"/>
      <c r="Z2" s="78"/>
    </row>
    <row r="3" spans="1:26" ht="14.4">
      <c r="A3" s="82"/>
      <c r="B3" s="82"/>
      <c r="C3" s="83" t="s">
        <v>102</v>
      </c>
      <c r="D3" s="80" t="s">
        <v>103</v>
      </c>
      <c r="E3" s="80" t="s">
        <v>101</v>
      </c>
      <c r="F3" s="81"/>
      <c r="G3" s="78"/>
      <c r="H3" s="78"/>
      <c r="I3" s="78"/>
      <c r="J3" s="78"/>
      <c r="K3" s="78"/>
      <c r="L3" s="78"/>
      <c r="M3" s="78"/>
      <c r="N3" s="78"/>
      <c r="O3" s="78"/>
      <c r="P3" s="78"/>
      <c r="Q3" s="78"/>
      <c r="R3" s="78"/>
      <c r="S3" s="78"/>
      <c r="T3" s="78"/>
      <c r="U3" s="78"/>
      <c r="V3" s="78"/>
      <c r="W3" s="78"/>
      <c r="X3" s="78"/>
      <c r="Y3" s="78"/>
      <c r="Z3" s="78"/>
    </row>
    <row r="4" spans="1:26" ht="14.4">
      <c r="A4" s="82"/>
      <c r="B4" s="82"/>
      <c r="C4" s="84" t="s">
        <v>104</v>
      </c>
      <c r="D4" s="80" t="s">
        <v>105</v>
      </c>
      <c r="E4" s="80" t="s">
        <v>101</v>
      </c>
      <c r="F4" s="81"/>
      <c r="G4" s="78"/>
      <c r="H4" s="78"/>
      <c r="I4" s="78"/>
      <c r="J4" s="78"/>
      <c r="K4" s="78"/>
      <c r="L4" s="78"/>
      <c r="M4" s="78"/>
      <c r="N4" s="78"/>
      <c r="O4" s="78"/>
      <c r="P4" s="78"/>
      <c r="Q4" s="78"/>
      <c r="R4" s="78"/>
      <c r="S4" s="78"/>
      <c r="T4" s="78"/>
      <c r="U4" s="78"/>
      <c r="V4" s="78"/>
      <c r="W4" s="78"/>
      <c r="X4" s="78"/>
      <c r="Y4" s="78"/>
      <c r="Z4" s="78"/>
    </row>
    <row r="5" spans="1:26" ht="14.4">
      <c r="A5" s="82"/>
      <c r="B5" s="82"/>
      <c r="C5" s="79" t="s">
        <v>106</v>
      </c>
      <c r="D5" s="80" t="s">
        <v>107</v>
      </c>
      <c r="E5" s="80" t="s">
        <v>101</v>
      </c>
      <c r="F5" s="81"/>
      <c r="G5" s="78"/>
      <c r="H5" s="78"/>
      <c r="I5" s="78"/>
      <c r="J5" s="78"/>
      <c r="K5" s="78"/>
      <c r="L5" s="78"/>
      <c r="M5" s="78"/>
      <c r="N5" s="78"/>
      <c r="O5" s="78"/>
      <c r="P5" s="78"/>
      <c r="Q5" s="78"/>
      <c r="R5" s="78"/>
      <c r="S5" s="78"/>
      <c r="T5" s="78"/>
      <c r="U5" s="78"/>
      <c r="V5" s="78"/>
      <c r="W5" s="78"/>
      <c r="X5" s="78"/>
      <c r="Y5" s="78"/>
      <c r="Z5" s="78"/>
    </row>
    <row r="6" spans="1:26" ht="14.4">
      <c r="A6" s="82"/>
      <c r="B6" s="82"/>
      <c r="C6" s="83" t="s">
        <v>108</v>
      </c>
      <c r="D6" s="80" t="s">
        <v>109</v>
      </c>
      <c r="E6" s="80" t="s">
        <v>101</v>
      </c>
      <c r="F6" s="81"/>
      <c r="G6" s="78"/>
      <c r="H6" s="78"/>
      <c r="I6" s="78"/>
      <c r="J6" s="78"/>
      <c r="K6" s="78"/>
      <c r="L6" s="78"/>
      <c r="M6" s="78"/>
      <c r="N6" s="78"/>
      <c r="O6" s="78"/>
      <c r="P6" s="78"/>
      <c r="Q6" s="78"/>
      <c r="R6" s="78"/>
      <c r="S6" s="78"/>
      <c r="T6" s="78"/>
      <c r="U6" s="78"/>
      <c r="V6" s="78"/>
      <c r="W6" s="78"/>
      <c r="X6" s="78"/>
      <c r="Y6" s="78"/>
      <c r="Z6" s="78"/>
    </row>
    <row r="7" spans="1:26" ht="14.4">
      <c r="A7" s="82"/>
      <c r="B7" s="82"/>
      <c r="C7" s="84" t="s">
        <v>110</v>
      </c>
      <c r="D7" s="80" t="s">
        <v>111</v>
      </c>
      <c r="E7" s="80" t="s">
        <v>101</v>
      </c>
      <c r="F7" s="81"/>
      <c r="G7" s="78"/>
      <c r="H7" s="78"/>
      <c r="I7" s="78"/>
      <c r="J7" s="78"/>
      <c r="K7" s="78"/>
      <c r="L7" s="78"/>
      <c r="M7" s="78"/>
      <c r="N7" s="78"/>
      <c r="O7" s="78"/>
      <c r="P7" s="78"/>
      <c r="Q7" s="78"/>
      <c r="R7" s="78"/>
      <c r="S7" s="78"/>
      <c r="T7" s="78"/>
      <c r="U7" s="78"/>
      <c r="V7" s="78"/>
      <c r="W7" s="78"/>
      <c r="X7" s="78"/>
      <c r="Y7" s="78"/>
      <c r="Z7" s="78"/>
    </row>
    <row r="8" spans="1:26" ht="14.4">
      <c r="A8" s="82"/>
      <c r="B8" s="82"/>
      <c r="C8" s="79" t="s">
        <v>112</v>
      </c>
      <c r="D8" s="80" t="s">
        <v>113</v>
      </c>
      <c r="E8" s="80" t="s">
        <v>101</v>
      </c>
      <c r="F8" s="81"/>
      <c r="G8" s="78"/>
      <c r="H8" s="78"/>
      <c r="I8" s="78"/>
      <c r="J8" s="78"/>
      <c r="K8" s="78"/>
      <c r="L8" s="78"/>
      <c r="M8" s="78"/>
      <c r="N8" s="78"/>
      <c r="O8" s="78"/>
      <c r="P8" s="78"/>
      <c r="Q8" s="78"/>
      <c r="R8" s="78"/>
      <c r="S8" s="78"/>
      <c r="T8" s="78"/>
      <c r="U8" s="78"/>
      <c r="V8" s="78"/>
      <c r="W8" s="78"/>
      <c r="X8" s="78"/>
      <c r="Y8" s="78"/>
      <c r="Z8" s="78"/>
    </row>
    <row r="9" spans="1:26" ht="14.4">
      <c r="A9" s="82"/>
      <c r="B9" s="82"/>
      <c r="C9" s="83" t="s">
        <v>114</v>
      </c>
      <c r="D9" s="80" t="s">
        <v>115</v>
      </c>
      <c r="E9" s="80" t="s">
        <v>101</v>
      </c>
      <c r="F9" s="81"/>
      <c r="G9" s="78"/>
      <c r="H9" s="78"/>
      <c r="I9" s="78"/>
      <c r="J9" s="78"/>
      <c r="K9" s="78"/>
      <c r="L9" s="78"/>
      <c r="M9" s="78"/>
      <c r="N9" s="78"/>
      <c r="O9" s="78"/>
      <c r="P9" s="78"/>
      <c r="Q9" s="78"/>
      <c r="R9" s="78"/>
      <c r="S9" s="78"/>
      <c r="T9" s="78"/>
      <c r="U9" s="78"/>
      <c r="V9" s="78"/>
      <c r="W9" s="78"/>
      <c r="X9" s="78"/>
      <c r="Y9" s="78"/>
      <c r="Z9" s="78"/>
    </row>
    <row r="10" spans="1:26" ht="14.4">
      <c r="A10" s="82"/>
      <c r="B10" s="82"/>
      <c r="C10" s="83" t="s">
        <v>116</v>
      </c>
      <c r="D10" s="80" t="s">
        <v>117</v>
      </c>
      <c r="E10" s="80" t="s">
        <v>101</v>
      </c>
      <c r="F10" s="81"/>
      <c r="G10" s="78"/>
      <c r="H10" s="78"/>
      <c r="I10" s="78"/>
      <c r="J10" s="78"/>
      <c r="K10" s="78"/>
      <c r="L10" s="78"/>
      <c r="M10" s="78"/>
      <c r="N10" s="78"/>
      <c r="O10" s="78"/>
      <c r="P10" s="78"/>
      <c r="Q10" s="78"/>
      <c r="R10" s="78"/>
      <c r="S10" s="78"/>
      <c r="T10" s="78"/>
      <c r="U10" s="78"/>
      <c r="V10" s="78"/>
      <c r="W10" s="78"/>
      <c r="X10" s="78"/>
      <c r="Y10" s="78"/>
      <c r="Z10" s="78"/>
    </row>
    <row r="11" spans="1:26" ht="14.4">
      <c r="A11" s="82"/>
      <c r="B11" s="85"/>
      <c r="C11" s="84" t="s">
        <v>118</v>
      </c>
      <c r="D11" s="80" t="s">
        <v>119</v>
      </c>
      <c r="E11" s="80" t="s">
        <v>101</v>
      </c>
      <c r="F11" s="81"/>
      <c r="G11" s="78"/>
      <c r="H11" s="78"/>
      <c r="I11" s="78"/>
      <c r="J11" s="78"/>
      <c r="K11" s="78"/>
      <c r="L11" s="78"/>
      <c r="M11" s="78"/>
      <c r="N11" s="78"/>
      <c r="O11" s="78"/>
      <c r="P11" s="78"/>
      <c r="Q11" s="78"/>
      <c r="R11" s="78"/>
      <c r="S11" s="78"/>
      <c r="T11" s="78"/>
      <c r="U11" s="78"/>
      <c r="V11" s="78"/>
      <c r="W11" s="78"/>
      <c r="X11" s="78"/>
      <c r="Y11" s="78"/>
      <c r="Z11" s="78"/>
    </row>
    <row r="12" spans="1:26" ht="14.4">
      <c r="A12" s="85"/>
      <c r="B12" s="81"/>
      <c r="C12" s="80" t="s">
        <v>120</v>
      </c>
      <c r="D12" s="80" t="s">
        <v>121</v>
      </c>
      <c r="E12" s="80" t="s">
        <v>101</v>
      </c>
      <c r="F12" s="81"/>
      <c r="G12" s="78"/>
      <c r="H12" s="78"/>
      <c r="I12" s="78"/>
      <c r="J12" s="78"/>
      <c r="K12" s="78"/>
      <c r="L12" s="78"/>
      <c r="M12" s="78"/>
      <c r="N12" s="78"/>
      <c r="O12" s="78"/>
      <c r="P12" s="78"/>
      <c r="Q12" s="78"/>
      <c r="R12" s="78"/>
      <c r="S12" s="78"/>
      <c r="T12" s="78"/>
      <c r="U12" s="78"/>
      <c r="V12" s="78"/>
      <c r="W12" s="78"/>
      <c r="X12" s="78"/>
      <c r="Y12" s="78"/>
      <c r="Z12" s="78"/>
    </row>
    <row r="13" spans="1:26" ht="14.4">
      <c r="A13" s="86"/>
      <c r="B13" s="79" t="s">
        <v>122</v>
      </c>
      <c r="C13" s="79" t="s">
        <v>123</v>
      </c>
      <c r="D13" s="80" t="s">
        <v>124</v>
      </c>
      <c r="E13" s="80" t="s">
        <v>125</v>
      </c>
      <c r="F13" s="81"/>
      <c r="G13" s="78"/>
      <c r="H13" s="78"/>
      <c r="I13" s="78"/>
      <c r="J13" s="78"/>
      <c r="K13" s="78"/>
      <c r="L13" s="78"/>
      <c r="M13" s="78"/>
      <c r="N13" s="78"/>
      <c r="O13" s="78"/>
      <c r="P13" s="78"/>
      <c r="Q13" s="78"/>
      <c r="R13" s="78"/>
      <c r="S13" s="78"/>
      <c r="T13" s="78"/>
      <c r="U13" s="78"/>
      <c r="V13" s="78"/>
      <c r="W13" s="78"/>
      <c r="X13" s="78"/>
      <c r="Y13" s="78"/>
      <c r="Z13" s="78"/>
    </row>
    <row r="14" spans="1:26" ht="14.4">
      <c r="A14" s="82"/>
      <c r="B14" s="82"/>
      <c r="C14" s="83" t="s">
        <v>126</v>
      </c>
      <c r="D14" s="80" t="s">
        <v>127</v>
      </c>
      <c r="E14" s="80" t="s">
        <v>101</v>
      </c>
      <c r="F14" s="81"/>
      <c r="G14" s="78"/>
      <c r="H14" s="78"/>
      <c r="I14" s="78"/>
      <c r="J14" s="78"/>
      <c r="K14" s="78"/>
      <c r="L14" s="78"/>
      <c r="M14" s="78"/>
      <c r="N14" s="78"/>
      <c r="O14" s="78"/>
      <c r="P14" s="78"/>
      <c r="Q14" s="78"/>
      <c r="R14" s="78"/>
      <c r="S14" s="78"/>
      <c r="T14" s="78"/>
      <c r="U14" s="78"/>
      <c r="V14" s="78"/>
      <c r="W14" s="78"/>
      <c r="X14" s="78"/>
      <c r="Y14" s="78"/>
      <c r="Z14" s="78"/>
    </row>
    <row r="15" spans="1:26" ht="14.4">
      <c r="A15" s="82"/>
      <c r="B15" s="82"/>
      <c r="C15" s="83" t="s">
        <v>128</v>
      </c>
      <c r="D15" s="80" t="s">
        <v>129</v>
      </c>
      <c r="E15" s="80" t="s">
        <v>101</v>
      </c>
      <c r="F15" s="81"/>
      <c r="G15" s="78"/>
      <c r="H15" s="78"/>
      <c r="I15" s="78"/>
      <c r="J15" s="78"/>
      <c r="K15" s="78"/>
      <c r="L15" s="78"/>
      <c r="M15" s="78"/>
      <c r="N15" s="78"/>
      <c r="O15" s="78"/>
      <c r="P15" s="78"/>
      <c r="Q15" s="78"/>
      <c r="R15" s="78"/>
      <c r="S15" s="78"/>
      <c r="T15" s="78"/>
      <c r="U15" s="78"/>
      <c r="V15" s="78"/>
      <c r="W15" s="78"/>
      <c r="X15" s="78"/>
      <c r="Y15" s="78"/>
      <c r="Z15" s="78"/>
    </row>
    <row r="16" spans="1:26" ht="14.4">
      <c r="A16" s="82"/>
      <c r="B16" s="82"/>
      <c r="C16" s="84" t="s">
        <v>130</v>
      </c>
      <c r="D16" s="80" t="s">
        <v>131</v>
      </c>
      <c r="E16" s="80" t="s">
        <v>101</v>
      </c>
      <c r="F16" s="81"/>
      <c r="G16" s="78"/>
      <c r="H16" s="78"/>
      <c r="I16" s="78"/>
      <c r="J16" s="78"/>
      <c r="K16" s="78"/>
      <c r="L16" s="78"/>
      <c r="M16" s="78"/>
      <c r="N16" s="78"/>
      <c r="O16" s="78"/>
      <c r="P16" s="78"/>
      <c r="Q16" s="78"/>
      <c r="R16" s="78"/>
      <c r="S16" s="78"/>
      <c r="T16" s="78"/>
      <c r="U16" s="78"/>
      <c r="V16" s="78"/>
      <c r="W16" s="78"/>
      <c r="X16" s="78"/>
      <c r="Y16" s="78"/>
      <c r="Z16" s="78"/>
    </row>
    <row r="17" spans="1:26" ht="14.4">
      <c r="A17" s="82"/>
      <c r="B17" s="82"/>
      <c r="C17" s="79" t="s">
        <v>132</v>
      </c>
      <c r="D17" s="80" t="s">
        <v>133</v>
      </c>
      <c r="E17" s="80" t="s">
        <v>101</v>
      </c>
      <c r="F17" s="81"/>
      <c r="G17" s="78"/>
      <c r="H17" s="78"/>
      <c r="I17" s="78"/>
      <c r="J17" s="78"/>
      <c r="K17" s="78"/>
      <c r="L17" s="78"/>
      <c r="M17" s="78"/>
      <c r="N17" s="78"/>
      <c r="O17" s="78"/>
      <c r="P17" s="78"/>
      <c r="Q17" s="78"/>
      <c r="R17" s="78"/>
      <c r="S17" s="78"/>
      <c r="T17" s="78"/>
      <c r="U17" s="78"/>
      <c r="V17" s="78"/>
      <c r="W17" s="78"/>
      <c r="X17" s="78"/>
      <c r="Y17" s="78"/>
      <c r="Z17" s="78"/>
    </row>
    <row r="18" spans="1:26" ht="14.4">
      <c r="A18" s="82"/>
      <c r="B18" s="83" t="s">
        <v>134</v>
      </c>
      <c r="C18" s="83" t="s">
        <v>135</v>
      </c>
      <c r="D18" s="80" t="s">
        <v>136</v>
      </c>
      <c r="E18" s="80" t="s">
        <v>125</v>
      </c>
      <c r="F18" s="81"/>
      <c r="G18" s="78"/>
      <c r="H18" s="78"/>
      <c r="I18" s="78"/>
      <c r="J18" s="78"/>
      <c r="K18" s="78"/>
      <c r="L18" s="78"/>
      <c r="M18" s="78"/>
      <c r="N18" s="78"/>
      <c r="O18" s="78"/>
      <c r="P18" s="78"/>
      <c r="Q18" s="78"/>
      <c r="R18" s="78"/>
      <c r="S18" s="78"/>
      <c r="T18" s="78"/>
      <c r="U18" s="78"/>
      <c r="V18" s="78"/>
      <c r="W18" s="78"/>
      <c r="X18" s="78"/>
      <c r="Y18" s="78"/>
      <c r="Z18" s="78"/>
    </row>
    <row r="19" spans="1:26" ht="14.4">
      <c r="A19" s="82"/>
      <c r="B19" s="82"/>
      <c r="C19" s="83" t="s">
        <v>137</v>
      </c>
      <c r="D19" s="80" t="s">
        <v>138</v>
      </c>
      <c r="E19" s="80" t="s">
        <v>101</v>
      </c>
      <c r="F19" s="81"/>
      <c r="G19" s="78"/>
      <c r="H19" s="78"/>
      <c r="I19" s="78"/>
      <c r="J19" s="78"/>
      <c r="K19" s="78"/>
      <c r="L19" s="78"/>
      <c r="M19" s="78"/>
      <c r="N19" s="78"/>
      <c r="O19" s="78"/>
      <c r="P19" s="78"/>
      <c r="Q19" s="78"/>
      <c r="R19" s="78"/>
      <c r="S19" s="78"/>
      <c r="T19" s="78"/>
      <c r="U19" s="78"/>
      <c r="V19" s="78"/>
      <c r="W19" s="78"/>
      <c r="X19" s="78"/>
      <c r="Y19" s="78"/>
      <c r="Z19" s="78"/>
    </row>
    <row r="20" spans="1:26" ht="14.4">
      <c r="A20" s="82"/>
      <c r="B20" s="82"/>
      <c r="C20" s="83" t="s">
        <v>139</v>
      </c>
      <c r="D20" s="80" t="s">
        <v>140</v>
      </c>
      <c r="E20" s="80" t="s">
        <v>101</v>
      </c>
      <c r="F20" s="81"/>
      <c r="G20" s="78"/>
      <c r="H20" s="78"/>
      <c r="I20" s="78"/>
      <c r="J20" s="78"/>
      <c r="K20" s="78"/>
      <c r="L20" s="78"/>
      <c r="M20" s="78"/>
      <c r="N20" s="78"/>
      <c r="O20" s="78"/>
      <c r="P20" s="78"/>
      <c r="Q20" s="78"/>
      <c r="R20" s="78"/>
      <c r="S20" s="78"/>
      <c r="T20" s="78"/>
      <c r="U20" s="78"/>
      <c r="V20" s="78"/>
      <c r="W20" s="78"/>
      <c r="X20" s="78"/>
      <c r="Y20" s="78"/>
      <c r="Z20" s="78"/>
    </row>
    <row r="21" spans="1:26" ht="14.4">
      <c r="A21" s="82"/>
      <c r="B21" s="82"/>
      <c r="C21" s="83" t="s">
        <v>141</v>
      </c>
      <c r="D21" s="80" t="s">
        <v>142</v>
      </c>
      <c r="E21" s="80" t="s">
        <v>101</v>
      </c>
      <c r="F21" s="81"/>
      <c r="G21" s="78"/>
      <c r="H21" s="78"/>
      <c r="I21" s="78"/>
      <c r="J21" s="78"/>
      <c r="K21" s="78"/>
      <c r="L21" s="78"/>
      <c r="M21" s="78"/>
      <c r="N21" s="78"/>
      <c r="O21" s="78"/>
      <c r="P21" s="78"/>
      <c r="Q21" s="78"/>
      <c r="R21" s="78"/>
      <c r="S21" s="78"/>
      <c r="T21" s="78"/>
      <c r="U21" s="78"/>
      <c r="V21" s="78"/>
      <c r="W21" s="78"/>
      <c r="X21" s="78"/>
      <c r="Y21" s="78"/>
      <c r="Z21" s="78"/>
    </row>
    <row r="22" spans="1:26" ht="14.4">
      <c r="A22" s="82"/>
      <c r="B22" s="82"/>
      <c r="C22" s="83" t="s">
        <v>143</v>
      </c>
      <c r="D22" s="80" t="s">
        <v>144</v>
      </c>
      <c r="E22" s="80" t="s">
        <v>101</v>
      </c>
      <c r="F22" s="81"/>
      <c r="G22" s="78"/>
      <c r="H22" s="78"/>
      <c r="I22" s="78"/>
      <c r="J22" s="78"/>
      <c r="K22" s="78"/>
      <c r="L22" s="78"/>
      <c r="M22" s="78"/>
      <c r="N22" s="78"/>
      <c r="O22" s="78"/>
      <c r="P22" s="78"/>
      <c r="Q22" s="78"/>
      <c r="R22" s="78"/>
      <c r="S22" s="78"/>
      <c r="T22" s="78"/>
      <c r="U22" s="78"/>
      <c r="V22" s="78"/>
      <c r="W22" s="78"/>
      <c r="X22" s="78"/>
      <c r="Y22" s="78"/>
      <c r="Z22" s="78"/>
    </row>
    <row r="23" spans="1:26" ht="14.4">
      <c r="A23" s="82"/>
      <c r="B23" s="82"/>
      <c r="C23" s="83" t="s">
        <v>145</v>
      </c>
      <c r="D23" s="80" t="s">
        <v>146</v>
      </c>
      <c r="E23" s="80" t="s">
        <v>101</v>
      </c>
      <c r="F23" s="81"/>
      <c r="G23" s="78"/>
      <c r="H23" s="78"/>
      <c r="I23" s="78"/>
      <c r="J23" s="78"/>
      <c r="K23" s="78"/>
      <c r="L23" s="78"/>
      <c r="M23" s="78"/>
      <c r="N23" s="78"/>
      <c r="O23" s="78"/>
      <c r="P23" s="78"/>
      <c r="Q23" s="78"/>
      <c r="R23" s="78"/>
      <c r="S23" s="78"/>
      <c r="T23" s="78"/>
      <c r="U23" s="78"/>
      <c r="V23" s="78"/>
      <c r="W23" s="78"/>
      <c r="X23" s="78"/>
      <c r="Y23" s="78"/>
      <c r="Z23" s="78"/>
    </row>
    <row r="24" spans="1:26" ht="14.4">
      <c r="A24" s="82"/>
      <c r="B24" s="82"/>
      <c r="C24" s="84" t="s">
        <v>147</v>
      </c>
      <c r="D24" s="80" t="s">
        <v>148</v>
      </c>
      <c r="E24" s="80" t="s">
        <v>101</v>
      </c>
      <c r="F24" s="81"/>
      <c r="G24" s="78"/>
      <c r="H24" s="78"/>
      <c r="I24" s="78"/>
      <c r="J24" s="78"/>
      <c r="K24" s="78"/>
      <c r="L24" s="78"/>
      <c r="M24" s="78"/>
      <c r="N24" s="78"/>
      <c r="O24" s="78"/>
      <c r="P24" s="78"/>
      <c r="Q24" s="78"/>
      <c r="R24" s="78"/>
      <c r="S24" s="78"/>
      <c r="T24" s="78"/>
      <c r="U24" s="78"/>
      <c r="V24" s="78"/>
      <c r="W24" s="78"/>
      <c r="X24" s="78"/>
      <c r="Y24" s="78"/>
      <c r="Z24" s="78"/>
    </row>
    <row r="25" spans="1:26" ht="14.4">
      <c r="A25" s="82"/>
      <c r="B25" s="83" t="s">
        <v>149</v>
      </c>
      <c r="C25" s="79" t="s">
        <v>150</v>
      </c>
      <c r="D25" s="80" t="s">
        <v>151</v>
      </c>
      <c r="E25" s="80" t="s">
        <v>125</v>
      </c>
      <c r="F25" s="81"/>
      <c r="G25" s="78"/>
      <c r="H25" s="78"/>
      <c r="I25" s="78"/>
      <c r="J25" s="78"/>
      <c r="K25" s="78"/>
      <c r="L25" s="78"/>
      <c r="M25" s="78"/>
      <c r="N25" s="78"/>
      <c r="O25" s="78"/>
      <c r="P25" s="78"/>
      <c r="Q25" s="78"/>
      <c r="R25" s="78"/>
      <c r="S25" s="78"/>
      <c r="T25" s="78"/>
      <c r="U25" s="78"/>
      <c r="V25" s="78"/>
      <c r="W25" s="78"/>
      <c r="X25" s="78"/>
      <c r="Y25" s="78"/>
      <c r="Z25" s="78"/>
    </row>
    <row r="26" spans="1:26" ht="14.4">
      <c r="A26" s="82"/>
      <c r="B26" s="82"/>
      <c r="C26" s="83" t="s">
        <v>152</v>
      </c>
      <c r="D26" s="80" t="s">
        <v>153</v>
      </c>
      <c r="E26" s="80" t="s">
        <v>101</v>
      </c>
      <c r="F26" s="81"/>
      <c r="G26" s="78"/>
      <c r="H26" s="78"/>
      <c r="I26" s="78"/>
      <c r="J26" s="78"/>
      <c r="K26" s="78"/>
      <c r="L26" s="78"/>
      <c r="M26" s="78"/>
      <c r="N26" s="78"/>
      <c r="O26" s="78"/>
      <c r="P26" s="78"/>
      <c r="Q26" s="78"/>
      <c r="R26" s="78"/>
      <c r="S26" s="78"/>
      <c r="T26" s="78"/>
      <c r="U26" s="78"/>
      <c r="V26" s="78"/>
      <c r="W26" s="78"/>
      <c r="X26" s="78"/>
      <c r="Y26" s="78"/>
      <c r="Z26" s="78"/>
    </row>
    <row r="27" spans="1:26" ht="14.4">
      <c r="A27" s="82"/>
      <c r="B27" s="82"/>
      <c r="C27" s="83" t="s">
        <v>154</v>
      </c>
      <c r="D27" s="80" t="s">
        <v>155</v>
      </c>
      <c r="E27" s="80" t="s">
        <v>101</v>
      </c>
      <c r="F27" s="81"/>
      <c r="G27" s="78"/>
      <c r="H27" s="78"/>
      <c r="I27" s="78"/>
      <c r="J27" s="78"/>
      <c r="K27" s="78"/>
      <c r="L27" s="78"/>
      <c r="M27" s="78"/>
      <c r="N27" s="78"/>
      <c r="O27" s="78"/>
      <c r="P27" s="78"/>
      <c r="Q27" s="78"/>
      <c r="R27" s="78"/>
      <c r="S27" s="78"/>
      <c r="T27" s="78"/>
      <c r="U27" s="78"/>
      <c r="V27" s="78"/>
      <c r="W27" s="78"/>
      <c r="X27" s="78"/>
      <c r="Y27" s="78"/>
      <c r="Z27" s="78"/>
    </row>
    <row r="28" spans="1:26" ht="14.4">
      <c r="A28" s="82"/>
      <c r="B28" s="82"/>
      <c r="C28" s="83" t="s">
        <v>156</v>
      </c>
      <c r="D28" s="80" t="s">
        <v>157</v>
      </c>
      <c r="E28" s="80" t="s">
        <v>101</v>
      </c>
      <c r="F28" s="81"/>
      <c r="G28" s="78"/>
      <c r="H28" s="78"/>
      <c r="I28" s="78"/>
      <c r="J28" s="78"/>
      <c r="K28" s="78"/>
      <c r="L28" s="78"/>
      <c r="M28" s="78"/>
      <c r="N28" s="78"/>
      <c r="O28" s="78"/>
      <c r="P28" s="78"/>
      <c r="Q28" s="78"/>
      <c r="R28" s="78"/>
      <c r="S28" s="78"/>
      <c r="T28" s="78"/>
      <c r="U28" s="78"/>
      <c r="V28" s="78"/>
      <c r="W28" s="78"/>
      <c r="X28" s="78"/>
      <c r="Y28" s="78"/>
      <c r="Z28" s="78"/>
    </row>
    <row r="29" spans="1:26" ht="28.2">
      <c r="A29" s="83" t="s">
        <v>158</v>
      </c>
      <c r="B29" s="83" t="s">
        <v>159</v>
      </c>
      <c r="C29" s="84" t="s">
        <v>160</v>
      </c>
      <c r="D29" s="80" t="s">
        <v>161</v>
      </c>
      <c r="E29" s="80" t="s">
        <v>101</v>
      </c>
      <c r="F29" s="81"/>
      <c r="G29" s="78"/>
      <c r="H29" s="78"/>
      <c r="I29" s="78"/>
      <c r="J29" s="78"/>
      <c r="K29" s="78"/>
      <c r="L29" s="78"/>
      <c r="M29" s="78"/>
      <c r="N29" s="78"/>
      <c r="O29" s="78"/>
      <c r="P29" s="78"/>
      <c r="Q29" s="78"/>
      <c r="R29" s="78"/>
      <c r="S29" s="78"/>
      <c r="T29" s="78"/>
      <c r="U29" s="78"/>
      <c r="V29" s="78"/>
      <c r="W29" s="78"/>
      <c r="X29" s="78"/>
      <c r="Y29" s="78"/>
      <c r="Z29" s="78"/>
    </row>
    <row r="30" spans="1:26" ht="28.2">
      <c r="A30" s="82"/>
      <c r="B30" s="82"/>
      <c r="C30" s="79" t="s">
        <v>162</v>
      </c>
      <c r="D30" s="80" t="s">
        <v>163</v>
      </c>
      <c r="E30" s="80" t="s">
        <v>101</v>
      </c>
      <c r="F30" s="81"/>
      <c r="G30" s="78"/>
      <c r="H30" s="78"/>
      <c r="I30" s="78"/>
      <c r="J30" s="78"/>
      <c r="K30" s="78"/>
      <c r="L30" s="78"/>
      <c r="M30" s="78"/>
      <c r="N30" s="78"/>
      <c r="O30" s="78"/>
      <c r="P30" s="78"/>
      <c r="Q30" s="78"/>
      <c r="R30" s="78"/>
      <c r="S30" s="78"/>
      <c r="T30" s="78"/>
      <c r="U30" s="78"/>
      <c r="V30" s="78"/>
      <c r="W30" s="78"/>
      <c r="X30" s="78"/>
      <c r="Y30" s="78"/>
      <c r="Z30" s="78"/>
    </row>
    <row r="31" spans="1:26" ht="14.4">
      <c r="A31" s="82"/>
      <c r="B31" s="82"/>
      <c r="C31" s="83" t="s">
        <v>164</v>
      </c>
      <c r="D31" s="80" t="s">
        <v>165</v>
      </c>
      <c r="E31" s="80" t="s">
        <v>101</v>
      </c>
      <c r="F31" s="81"/>
      <c r="G31" s="78"/>
      <c r="H31" s="78"/>
      <c r="I31" s="78"/>
      <c r="J31" s="78"/>
      <c r="K31" s="78"/>
      <c r="L31" s="78"/>
      <c r="M31" s="78"/>
      <c r="N31" s="78"/>
      <c r="O31" s="78"/>
      <c r="P31" s="78"/>
      <c r="Q31" s="78"/>
      <c r="R31" s="78"/>
      <c r="S31" s="78"/>
      <c r="T31" s="78"/>
      <c r="U31" s="78"/>
      <c r="V31" s="78"/>
      <c r="W31" s="78"/>
      <c r="X31" s="78"/>
      <c r="Y31" s="78"/>
      <c r="Z31" s="78"/>
    </row>
    <row r="32" spans="1:26" ht="28.2">
      <c r="A32" s="82"/>
      <c r="B32" s="82"/>
      <c r="C32" s="83" t="s">
        <v>166</v>
      </c>
      <c r="D32" s="80" t="s">
        <v>167</v>
      </c>
      <c r="E32" s="80" t="s">
        <v>101</v>
      </c>
      <c r="F32" s="81"/>
      <c r="G32" s="78"/>
      <c r="H32" s="78"/>
      <c r="I32" s="78"/>
      <c r="J32" s="78"/>
      <c r="K32" s="78"/>
      <c r="L32" s="78"/>
      <c r="M32" s="78"/>
      <c r="N32" s="78"/>
      <c r="O32" s="78"/>
      <c r="P32" s="78"/>
      <c r="Q32" s="78"/>
      <c r="R32" s="78"/>
      <c r="S32" s="78"/>
      <c r="T32" s="78"/>
      <c r="U32" s="78"/>
      <c r="V32" s="78"/>
      <c r="W32" s="78"/>
      <c r="X32" s="78"/>
      <c r="Y32" s="78"/>
      <c r="Z32" s="78"/>
    </row>
    <row r="33" spans="1:26" ht="28.2">
      <c r="A33" s="82"/>
      <c r="B33" s="82"/>
      <c r="C33" s="84" t="s">
        <v>168</v>
      </c>
      <c r="D33" s="80" t="s">
        <v>169</v>
      </c>
      <c r="E33" s="80" t="s">
        <v>101</v>
      </c>
      <c r="F33" s="81"/>
      <c r="G33" s="78"/>
      <c r="H33" s="78"/>
      <c r="I33" s="78"/>
      <c r="J33" s="78"/>
      <c r="K33" s="78"/>
      <c r="L33" s="78"/>
      <c r="M33" s="78"/>
      <c r="N33" s="78"/>
      <c r="O33" s="78"/>
      <c r="P33" s="78"/>
      <c r="Q33" s="78"/>
      <c r="R33" s="78"/>
      <c r="S33" s="78"/>
      <c r="T33" s="78"/>
      <c r="U33" s="78"/>
      <c r="V33" s="78"/>
      <c r="W33" s="78"/>
      <c r="X33" s="78"/>
      <c r="Y33" s="78"/>
      <c r="Z33" s="78"/>
    </row>
    <row r="34" spans="1:26" ht="28.2">
      <c r="A34" s="82"/>
      <c r="B34" s="82"/>
      <c r="C34" s="79" t="s">
        <v>170</v>
      </c>
      <c r="D34" s="80" t="s">
        <v>171</v>
      </c>
      <c r="E34" s="80" t="s">
        <v>101</v>
      </c>
      <c r="F34" s="81"/>
      <c r="G34" s="78"/>
      <c r="H34" s="78"/>
      <c r="I34" s="78"/>
      <c r="J34" s="78"/>
      <c r="K34" s="78"/>
      <c r="L34" s="78"/>
      <c r="M34" s="78"/>
      <c r="N34" s="78"/>
      <c r="O34" s="78"/>
      <c r="P34" s="78"/>
      <c r="Q34" s="78"/>
      <c r="R34" s="78"/>
      <c r="S34" s="78"/>
      <c r="T34" s="78"/>
      <c r="U34" s="78"/>
      <c r="V34" s="78"/>
      <c r="W34" s="78"/>
      <c r="X34" s="78"/>
      <c r="Y34" s="78"/>
      <c r="Z34" s="78"/>
    </row>
    <row r="35" spans="1:26" ht="28.2">
      <c r="A35" s="82"/>
      <c r="B35" s="82"/>
      <c r="C35" s="83" t="s">
        <v>172</v>
      </c>
      <c r="D35" s="80" t="s">
        <v>173</v>
      </c>
      <c r="E35" s="80" t="s">
        <v>101</v>
      </c>
      <c r="F35" s="81"/>
      <c r="G35" s="78"/>
      <c r="H35" s="78"/>
      <c r="I35" s="78"/>
      <c r="J35" s="78"/>
      <c r="K35" s="78"/>
      <c r="L35" s="78"/>
      <c r="M35" s="78"/>
      <c r="N35" s="78"/>
      <c r="O35" s="78"/>
      <c r="P35" s="78"/>
      <c r="Q35" s="78"/>
      <c r="R35" s="78"/>
      <c r="S35" s="78"/>
      <c r="T35" s="78"/>
      <c r="U35" s="78"/>
      <c r="V35" s="78"/>
      <c r="W35" s="78"/>
      <c r="X35" s="78"/>
      <c r="Y35" s="78"/>
      <c r="Z35" s="78"/>
    </row>
    <row r="36" spans="1:26" ht="14.4">
      <c r="A36" s="82"/>
      <c r="B36" s="85"/>
      <c r="C36" s="84" t="s">
        <v>174</v>
      </c>
      <c r="D36" s="80" t="s">
        <v>175</v>
      </c>
      <c r="E36" s="80" t="s">
        <v>101</v>
      </c>
      <c r="F36" s="81"/>
      <c r="G36" s="78"/>
      <c r="H36" s="78"/>
      <c r="I36" s="78"/>
      <c r="J36" s="78"/>
      <c r="K36" s="78"/>
      <c r="L36" s="78"/>
      <c r="M36" s="78"/>
      <c r="N36" s="78"/>
      <c r="O36" s="78"/>
      <c r="P36" s="78"/>
      <c r="Q36" s="78"/>
      <c r="R36" s="78"/>
      <c r="S36" s="78"/>
      <c r="T36" s="78"/>
      <c r="U36" s="78"/>
      <c r="V36" s="78"/>
      <c r="W36" s="78"/>
      <c r="X36" s="78"/>
      <c r="Y36" s="78"/>
      <c r="Z36" s="78"/>
    </row>
    <row r="37" spans="1:26" ht="28.2">
      <c r="A37" s="82"/>
      <c r="B37" s="86"/>
      <c r="C37" s="79" t="s">
        <v>176</v>
      </c>
      <c r="D37" s="80" t="s">
        <v>177</v>
      </c>
      <c r="E37" s="80" t="s">
        <v>101</v>
      </c>
      <c r="F37" s="81"/>
      <c r="G37" s="78"/>
      <c r="H37" s="78"/>
      <c r="I37" s="78"/>
      <c r="J37" s="78"/>
      <c r="K37" s="78"/>
      <c r="L37" s="78"/>
      <c r="M37" s="78"/>
      <c r="N37" s="78"/>
      <c r="O37" s="78"/>
      <c r="P37" s="78"/>
      <c r="Q37" s="78"/>
      <c r="R37" s="78"/>
      <c r="S37" s="78"/>
      <c r="T37" s="78"/>
      <c r="U37" s="78"/>
      <c r="V37" s="78"/>
      <c r="W37" s="78"/>
      <c r="X37" s="78"/>
      <c r="Y37" s="78"/>
      <c r="Z37" s="78"/>
    </row>
    <row r="38" spans="1:26" ht="28.2">
      <c r="A38" s="82"/>
      <c r="B38" s="82"/>
      <c r="C38" s="83" t="s">
        <v>178</v>
      </c>
      <c r="D38" s="80" t="s">
        <v>179</v>
      </c>
      <c r="E38" s="80" t="s">
        <v>101</v>
      </c>
      <c r="F38" s="81"/>
      <c r="G38" s="78"/>
      <c r="H38" s="78"/>
      <c r="I38" s="78"/>
      <c r="J38" s="78"/>
      <c r="K38" s="78"/>
      <c r="L38" s="78"/>
      <c r="M38" s="78"/>
      <c r="N38" s="78"/>
      <c r="O38" s="78"/>
      <c r="P38" s="78"/>
      <c r="Q38" s="78"/>
      <c r="R38" s="78"/>
      <c r="S38" s="78"/>
      <c r="T38" s="78"/>
      <c r="U38" s="78"/>
      <c r="V38" s="78"/>
      <c r="W38" s="78"/>
      <c r="X38" s="78"/>
      <c r="Y38" s="78"/>
      <c r="Z38" s="78"/>
    </row>
    <row r="39" spans="1:26" ht="28.2">
      <c r="A39" s="82"/>
      <c r="B39" s="82"/>
      <c r="C39" s="83" t="s">
        <v>120</v>
      </c>
      <c r="D39" s="80" t="s">
        <v>180</v>
      </c>
      <c r="E39" s="80" t="s">
        <v>101</v>
      </c>
      <c r="F39" s="81"/>
      <c r="G39" s="78"/>
      <c r="H39" s="78"/>
      <c r="I39" s="78"/>
      <c r="J39" s="78"/>
      <c r="K39" s="78"/>
      <c r="L39" s="78"/>
      <c r="M39" s="78"/>
      <c r="N39" s="78"/>
      <c r="O39" s="78"/>
      <c r="P39" s="78"/>
      <c r="Q39" s="78"/>
      <c r="R39" s="78"/>
      <c r="S39" s="78"/>
      <c r="T39" s="78"/>
      <c r="U39" s="78"/>
      <c r="V39" s="78"/>
      <c r="W39" s="78"/>
      <c r="X39" s="78"/>
      <c r="Y39" s="78"/>
      <c r="Z39" s="78"/>
    </row>
    <row r="40" spans="1:26" ht="28.2">
      <c r="A40" s="82"/>
      <c r="B40" s="83" t="s">
        <v>181</v>
      </c>
      <c r="C40" s="84" t="s">
        <v>182</v>
      </c>
      <c r="D40" s="80" t="s">
        <v>183</v>
      </c>
      <c r="E40" s="80" t="s">
        <v>125</v>
      </c>
      <c r="F40" s="81"/>
      <c r="G40" s="78"/>
      <c r="H40" s="78"/>
      <c r="I40" s="78"/>
      <c r="J40" s="78"/>
      <c r="K40" s="78"/>
      <c r="L40" s="78"/>
      <c r="M40" s="78"/>
      <c r="N40" s="78"/>
      <c r="O40" s="78"/>
      <c r="P40" s="78"/>
      <c r="Q40" s="78"/>
      <c r="R40" s="78"/>
      <c r="S40" s="78"/>
      <c r="T40" s="78"/>
      <c r="U40" s="78"/>
      <c r="V40" s="78"/>
      <c r="W40" s="78"/>
      <c r="X40" s="78"/>
      <c r="Y40" s="78"/>
      <c r="Z40" s="78"/>
    </row>
    <row r="41" spans="1:26" ht="14.4">
      <c r="A41" s="82"/>
      <c r="B41" s="82"/>
      <c r="C41" s="79" t="s">
        <v>184</v>
      </c>
      <c r="D41" s="80" t="s">
        <v>185</v>
      </c>
      <c r="E41" s="80" t="s">
        <v>101</v>
      </c>
      <c r="F41" s="81"/>
      <c r="G41" s="78"/>
      <c r="H41" s="78"/>
      <c r="I41" s="78"/>
      <c r="J41" s="78"/>
      <c r="K41" s="78"/>
      <c r="L41" s="78"/>
      <c r="M41" s="78"/>
      <c r="N41" s="78"/>
      <c r="O41" s="78"/>
      <c r="P41" s="78"/>
      <c r="Q41" s="78"/>
      <c r="R41" s="78"/>
      <c r="S41" s="78"/>
      <c r="T41" s="78"/>
      <c r="U41" s="78"/>
      <c r="V41" s="78"/>
      <c r="W41" s="78"/>
      <c r="X41" s="78"/>
      <c r="Y41" s="78"/>
      <c r="Z41" s="78"/>
    </row>
    <row r="42" spans="1:26" ht="28.2">
      <c r="A42" s="82"/>
      <c r="B42" s="82"/>
      <c r="C42" s="83" t="s">
        <v>186</v>
      </c>
      <c r="D42" s="80" t="s">
        <v>187</v>
      </c>
      <c r="E42" s="80" t="s">
        <v>101</v>
      </c>
      <c r="F42" s="81"/>
      <c r="G42" s="78"/>
      <c r="H42" s="78"/>
      <c r="I42" s="78"/>
      <c r="J42" s="78"/>
      <c r="K42" s="78"/>
      <c r="L42" s="78"/>
      <c r="M42" s="78"/>
      <c r="N42" s="78"/>
      <c r="O42" s="78"/>
      <c r="P42" s="78"/>
      <c r="Q42" s="78"/>
      <c r="R42" s="78"/>
      <c r="S42" s="78"/>
      <c r="T42" s="78"/>
      <c r="U42" s="78"/>
      <c r="V42" s="78"/>
      <c r="W42" s="78"/>
      <c r="X42" s="78"/>
      <c r="Y42" s="78"/>
      <c r="Z42" s="78"/>
    </row>
    <row r="43" spans="1:26" ht="28.2">
      <c r="A43" s="82"/>
      <c r="B43" s="82"/>
      <c r="C43" s="83" t="s">
        <v>130</v>
      </c>
      <c r="D43" s="80" t="s">
        <v>188</v>
      </c>
      <c r="E43" s="80" t="s">
        <v>101</v>
      </c>
      <c r="F43" s="81"/>
      <c r="G43" s="78"/>
      <c r="H43" s="78"/>
      <c r="I43" s="78"/>
      <c r="J43" s="78"/>
      <c r="K43" s="78"/>
      <c r="L43" s="78"/>
      <c r="M43" s="78"/>
      <c r="N43" s="78"/>
      <c r="O43" s="78"/>
      <c r="P43" s="78"/>
      <c r="Q43" s="78"/>
      <c r="R43" s="78"/>
      <c r="S43" s="78"/>
      <c r="T43" s="78"/>
      <c r="U43" s="78"/>
      <c r="V43" s="78"/>
      <c r="W43" s="78"/>
      <c r="X43" s="78"/>
      <c r="Y43" s="78"/>
      <c r="Z43" s="78"/>
    </row>
    <row r="44" spans="1:26" ht="14.4">
      <c r="A44" s="82"/>
      <c r="B44" s="82"/>
      <c r="C44" s="83" t="s">
        <v>189</v>
      </c>
      <c r="D44" s="80" t="s">
        <v>190</v>
      </c>
      <c r="E44" s="80" t="s">
        <v>101</v>
      </c>
      <c r="F44" s="81"/>
      <c r="G44" s="78"/>
      <c r="H44" s="78"/>
      <c r="I44" s="78"/>
      <c r="J44" s="78"/>
      <c r="K44" s="78"/>
      <c r="L44" s="78"/>
      <c r="M44" s="78"/>
      <c r="N44" s="78"/>
      <c r="O44" s="78"/>
      <c r="P44" s="78"/>
      <c r="Q44" s="78"/>
      <c r="R44" s="78"/>
      <c r="S44" s="78"/>
      <c r="T44" s="78"/>
      <c r="U44" s="78"/>
      <c r="V44" s="78"/>
      <c r="W44" s="78"/>
      <c r="X44" s="78"/>
      <c r="Y44" s="78"/>
      <c r="Z44" s="78"/>
    </row>
    <row r="45" spans="1:26" ht="28.2">
      <c r="A45" s="82"/>
      <c r="B45" s="83" t="s">
        <v>191</v>
      </c>
      <c r="C45" s="83" t="s">
        <v>192</v>
      </c>
      <c r="D45" s="80" t="s">
        <v>193</v>
      </c>
      <c r="E45" s="80" t="s">
        <v>125</v>
      </c>
      <c r="F45" s="81"/>
      <c r="G45" s="78"/>
      <c r="H45" s="78"/>
      <c r="I45" s="78"/>
      <c r="J45" s="78"/>
      <c r="K45" s="78"/>
      <c r="L45" s="78"/>
      <c r="M45" s="78"/>
      <c r="N45" s="78"/>
      <c r="O45" s="78"/>
      <c r="P45" s="78"/>
      <c r="Q45" s="78"/>
      <c r="R45" s="78"/>
      <c r="S45" s="78"/>
      <c r="T45" s="78"/>
      <c r="U45" s="78"/>
      <c r="V45" s="78"/>
      <c r="W45" s="78"/>
      <c r="X45" s="78"/>
      <c r="Y45" s="78"/>
      <c r="Z45" s="78"/>
    </row>
    <row r="46" spans="1:26" ht="28.2">
      <c r="A46" s="82"/>
      <c r="B46" s="82"/>
      <c r="C46" s="84" t="s">
        <v>194</v>
      </c>
      <c r="D46" s="80" t="s">
        <v>195</v>
      </c>
      <c r="E46" s="80" t="s">
        <v>101</v>
      </c>
      <c r="F46" s="81"/>
      <c r="G46" s="78"/>
      <c r="H46" s="78"/>
      <c r="I46" s="78"/>
      <c r="J46" s="78"/>
      <c r="K46" s="78"/>
      <c r="L46" s="78"/>
      <c r="M46" s="78"/>
      <c r="N46" s="78"/>
      <c r="O46" s="78"/>
      <c r="P46" s="78"/>
      <c r="Q46" s="78"/>
      <c r="R46" s="78"/>
      <c r="S46" s="78"/>
      <c r="T46" s="78"/>
      <c r="U46" s="78"/>
      <c r="V46" s="78"/>
      <c r="W46" s="78"/>
      <c r="X46" s="78"/>
      <c r="Y46" s="78"/>
      <c r="Z46" s="78"/>
    </row>
    <row r="47" spans="1:26" ht="28.2">
      <c r="A47" s="82"/>
      <c r="B47" s="82"/>
      <c r="C47" s="80" t="s">
        <v>196</v>
      </c>
      <c r="D47" s="80" t="s">
        <v>197</v>
      </c>
      <c r="E47" s="80" t="s">
        <v>101</v>
      </c>
      <c r="F47" s="81"/>
      <c r="G47" s="78"/>
      <c r="H47" s="78"/>
      <c r="I47" s="78"/>
      <c r="J47" s="78"/>
      <c r="K47" s="78"/>
      <c r="L47" s="78"/>
      <c r="M47" s="78"/>
      <c r="N47" s="78"/>
      <c r="O47" s="78"/>
      <c r="P47" s="78"/>
      <c r="Q47" s="78"/>
      <c r="R47" s="78"/>
      <c r="S47" s="78"/>
      <c r="T47" s="78"/>
      <c r="U47" s="78"/>
      <c r="V47" s="78"/>
      <c r="W47" s="78"/>
      <c r="X47" s="78"/>
      <c r="Y47" s="78"/>
      <c r="Z47" s="78"/>
    </row>
    <row r="48" spans="1:26" ht="14.4">
      <c r="A48" s="82"/>
      <c r="B48" s="82"/>
      <c r="C48" s="79" t="s">
        <v>198</v>
      </c>
      <c r="D48" s="87" t="s">
        <v>199</v>
      </c>
      <c r="E48" s="80" t="s">
        <v>101</v>
      </c>
      <c r="F48" s="81"/>
      <c r="G48" s="78"/>
      <c r="H48" s="78"/>
      <c r="I48" s="78"/>
      <c r="J48" s="78"/>
      <c r="K48" s="78"/>
      <c r="L48" s="78"/>
      <c r="M48" s="78"/>
      <c r="N48" s="78"/>
      <c r="O48" s="78"/>
      <c r="P48" s="78"/>
      <c r="Q48" s="78"/>
      <c r="R48" s="78"/>
      <c r="S48" s="78"/>
      <c r="T48" s="78"/>
      <c r="U48" s="78"/>
      <c r="V48" s="78"/>
      <c r="W48" s="78"/>
      <c r="X48" s="78"/>
      <c r="Y48" s="78"/>
      <c r="Z48" s="78"/>
    </row>
    <row r="49" spans="1:26" ht="28.2">
      <c r="A49" s="82"/>
      <c r="B49" s="82"/>
      <c r="C49" s="83" t="s">
        <v>200</v>
      </c>
      <c r="D49" s="80" t="s">
        <v>201</v>
      </c>
      <c r="E49" s="80" t="s">
        <v>101</v>
      </c>
      <c r="F49" s="81"/>
      <c r="G49" s="78"/>
      <c r="H49" s="78"/>
      <c r="I49" s="78"/>
      <c r="J49" s="78"/>
      <c r="K49" s="78"/>
      <c r="L49" s="78"/>
      <c r="M49" s="78"/>
      <c r="N49" s="78"/>
      <c r="O49" s="78"/>
      <c r="P49" s="78"/>
      <c r="Q49" s="78"/>
      <c r="R49" s="78"/>
      <c r="S49" s="78"/>
      <c r="T49" s="78"/>
      <c r="U49" s="78"/>
      <c r="V49" s="78"/>
      <c r="W49" s="78"/>
      <c r="X49" s="78"/>
      <c r="Y49" s="78"/>
      <c r="Z49" s="78"/>
    </row>
    <row r="50" spans="1:26" ht="28.2">
      <c r="A50" s="82"/>
      <c r="B50" s="82"/>
      <c r="C50" s="84" t="s">
        <v>202</v>
      </c>
      <c r="D50" s="80" t="s">
        <v>203</v>
      </c>
      <c r="E50" s="80" t="s">
        <v>101</v>
      </c>
      <c r="F50" s="81"/>
      <c r="G50" s="78"/>
      <c r="H50" s="78"/>
      <c r="I50" s="78"/>
      <c r="J50" s="78"/>
      <c r="K50" s="78"/>
      <c r="L50" s="78"/>
      <c r="M50" s="78"/>
      <c r="N50" s="78"/>
      <c r="O50" s="78"/>
      <c r="P50" s="78"/>
      <c r="Q50" s="78"/>
      <c r="R50" s="78"/>
      <c r="S50" s="78"/>
      <c r="T50" s="78"/>
      <c r="U50" s="78"/>
      <c r="V50" s="78"/>
      <c r="W50" s="78"/>
      <c r="X50" s="78"/>
      <c r="Y50" s="78"/>
      <c r="Z50" s="78"/>
    </row>
    <row r="51" spans="1:26" ht="14.4">
      <c r="A51" s="82"/>
      <c r="B51" s="82"/>
      <c r="C51" s="79" t="s">
        <v>204</v>
      </c>
      <c r="D51" s="87" t="s">
        <v>205</v>
      </c>
      <c r="E51" s="80" t="s">
        <v>101</v>
      </c>
      <c r="F51" s="81"/>
      <c r="G51" s="78"/>
      <c r="H51" s="78"/>
      <c r="I51" s="78"/>
      <c r="J51" s="78"/>
      <c r="K51" s="78"/>
      <c r="L51" s="78"/>
      <c r="M51" s="78"/>
      <c r="N51" s="78"/>
      <c r="O51" s="78"/>
      <c r="P51" s="78"/>
      <c r="Q51" s="78"/>
      <c r="R51" s="78"/>
      <c r="S51" s="78"/>
      <c r="T51" s="78"/>
      <c r="U51" s="78"/>
      <c r="V51" s="78"/>
      <c r="W51" s="78"/>
      <c r="X51" s="78"/>
      <c r="Y51" s="78"/>
      <c r="Z51" s="78"/>
    </row>
    <row r="52" spans="1:26" ht="28.2">
      <c r="A52" s="82"/>
      <c r="B52" s="83" t="s">
        <v>206</v>
      </c>
      <c r="C52" s="83" t="s">
        <v>207</v>
      </c>
      <c r="D52" s="80" t="s">
        <v>208</v>
      </c>
      <c r="E52" s="80" t="s">
        <v>125</v>
      </c>
      <c r="F52" s="81"/>
      <c r="G52" s="78"/>
      <c r="H52" s="78"/>
      <c r="I52" s="78"/>
      <c r="J52" s="78"/>
      <c r="K52" s="78"/>
      <c r="L52" s="78"/>
      <c r="M52" s="78"/>
      <c r="N52" s="78"/>
      <c r="O52" s="78"/>
      <c r="P52" s="78"/>
      <c r="Q52" s="78"/>
      <c r="R52" s="78"/>
      <c r="S52" s="78"/>
      <c r="T52" s="78"/>
      <c r="U52" s="78"/>
      <c r="V52" s="78"/>
      <c r="W52" s="78"/>
      <c r="X52" s="78"/>
      <c r="Y52" s="78"/>
      <c r="Z52" s="78"/>
    </row>
    <row r="53" spans="1:26" ht="14.4">
      <c r="A53" s="82"/>
      <c r="B53" s="82"/>
      <c r="C53" s="83" t="s">
        <v>152</v>
      </c>
      <c r="D53" s="80" t="s">
        <v>209</v>
      </c>
      <c r="E53" s="80" t="s">
        <v>101</v>
      </c>
      <c r="F53" s="81"/>
      <c r="G53" s="78"/>
      <c r="H53" s="78"/>
      <c r="I53" s="78"/>
      <c r="J53" s="78"/>
      <c r="K53" s="78"/>
      <c r="L53" s="78"/>
      <c r="M53" s="78"/>
      <c r="N53" s="78"/>
      <c r="O53" s="78"/>
      <c r="P53" s="78"/>
      <c r="Q53" s="78"/>
      <c r="R53" s="78"/>
      <c r="S53" s="78"/>
      <c r="T53" s="78"/>
      <c r="U53" s="78"/>
      <c r="V53" s="78"/>
      <c r="W53" s="78"/>
      <c r="X53" s="78"/>
      <c r="Y53" s="78"/>
      <c r="Z53" s="78"/>
    </row>
    <row r="54" spans="1:26" ht="28.2">
      <c r="A54" s="82"/>
      <c r="B54" s="82"/>
      <c r="C54" s="84" t="s">
        <v>210</v>
      </c>
      <c r="D54" s="80" t="s">
        <v>211</v>
      </c>
      <c r="E54" s="80" t="s">
        <v>101</v>
      </c>
      <c r="F54" s="81"/>
      <c r="G54" s="78"/>
      <c r="H54" s="78"/>
      <c r="I54" s="78"/>
      <c r="J54" s="78"/>
      <c r="K54" s="78"/>
      <c r="L54" s="78"/>
      <c r="M54" s="78"/>
      <c r="N54" s="78"/>
      <c r="O54" s="78"/>
      <c r="P54" s="78"/>
      <c r="Q54" s="78"/>
      <c r="R54" s="78"/>
      <c r="S54" s="78"/>
      <c r="T54" s="78"/>
      <c r="U54" s="78"/>
      <c r="V54" s="78"/>
      <c r="W54" s="78"/>
      <c r="X54" s="78"/>
      <c r="Y54" s="78"/>
      <c r="Z54" s="78"/>
    </row>
    <row r="55" spans="1:26" ht="14.4">
      <c r="A55" s="82"/>
      <c r="B55" s="82"/>
      <c r="C55" s="79" t="s">
        <v>212</v>
      </c>
      <c r="D55" s="80" t="s">
        <v>213</v>
      </c>
      <c r="E55" s="80" t="s">
        <v>101</v>
      </c>
      <c r="F55" s="81"/>
      <c r="G55" s="78"/>
      <c r="H55" s="78"/>
      <c r="I55" s="78"/>
      <c r="J55" s="78"/>
      <c r="K55" s="78"/>
      <c r="L55" s="78"/>
      <c r="M55" s="78"/>
      <c r="N55" s="78"/>
      <c r="O55" s="78"/>
      <c r="P55" s="78"/>
      <c r="Q55" s="78"/>
      <c r="R55" s="78"/>
      <c r="S55" s="78"/>
      <c r="T55" s="78"/>
      <c r="U55" s="78"/>
      <c r="V55" s="78"/>
      <c r="W55" s="78"/>
      <c r="X55" s="78"/>
      <c r="Y55" s="78"/>
      <c r="Z55" s="78"/>
    </row>
    <row r="56" spans="1:26" ht="28.2">
      <c r="A56" s="83" t="s">
        <v>214</v>
      </c>
      <c r="B56" s="83" t="s">
        <v>215</v>
      </c>
      <c r="C56" s="83" t="s">
        <v>160</v>
      </c>
      <c r="D56" s="80" t="s">
        <v>216</v>
      </c>
      <c r="E56" s="80" t="s">
        <v>101</v>
      </c>
      <c r="F56" s="81"/>
      <c r="G56" s="78"/>
      <c r="H56" s="78"/>
      <c r="I56" s="78"/>
      <c r="J56" s="78"/>
      <c r="K56" s="78"/>
      <c r="L56" s="78"/>
      <c r="M56" s="78"/>
      <c r="N56" s="78"/>
      <c r="O56" s="78"/>
      <c r="P56" s="78"/>
      <c r="Q56" s="78"/>
      <c r="R56" s="78"/>
      <c r="S56" s="78"/>
      <c r="T56" s="78"/>
      <c r="U56" s="78"/>
      <c r="V56" s="78"/>
      <c r="W56" s="78"/>
      <c r="X56" s="78"/>
      <c r="Y56" s="78"/>
      <c r="Z56" s="78"/>
    </row>
    <row r="57" spans="1:26" ht="14.4">
      <c r="A57" s="82"/>
      <c r="B57" s="82"/>
      <c r="C57" s="84" t="s">
        <v>106</v>
      </c>
      <c r="D57" s="80" t="s">
        <v>217</v>
      </c>
      <c r="E57" s="80" t="s">
        <v>101</v>
      </c>
      <c r="F57" s="81"/>
      <c r="G57" s="78"/>
      <c r="H57" s="78"/>
      <c r="I57" s="78"/>
      <c r="J57" s="78"/>
      <c r="K57" s="78"/>
      <c r="L57" s="78"/>
      <c r="M57" s="78"/>
      <c r="N57" s="78"/>
      <c r="O57" s="78"/>
      <c r="P57" s="78"/>
      <c r="Q57" s="78"/>
      <c r="R57" s="78"/>
      <c r="S57" s="78"/>
      <c r="T57" s="78"/>
      <c r="U57" s="78"/>
      <c r="V57" s="78"/>
      <c r="W57" s="78"/>
      <c r="X57" s="78"/>
      <c r="Y57" s="78"/>
      <c r="Z57" s="78"/>
    </row>
    <row r="58" spans="1:26" ht="28.2">
      <c r="A58" s="82"/>
      <c r="B58" s="82"/>
      <c r="C58" s="80" t="s">
        <v>218</v>
      </c>
      <c r="D58" s="80" t="s">
        <v>219</v>
      </c>
      <c r="E58" s="80" t="s">
        <v>101</v>
      </c>
      <c r="F58" s="81"/>
      <c r="G58" s="78"/>
      <c r="H58" s="78"/>
      <c r="I58" s="78"/>
      <c r="J58" s="78"/>
      <c r="K58" s="78"/>
      <c r="L58" s="78"/>
      <c r="M58" s="78"/>
      <c r="N58" s="78"/>
      <c r="O58" s="78"/>
      <c r="P58" s="78"/>
      <c r="Q58" s="78"/>
      <c r="R58" s="78"/>
      <c r="S58" s="78"/>
      <c r="T58" s="78"/>
      <c r="U58" s="78"/>
      <c r="V58" s="78"/>
      <c r="W58" s="78"/>
      <c r="X58" s="78"/>
      <c r="Y58" s="78"/>
      <c r="Z58" s="78"/>
    </row>
    <row r="59" spans="1:26" ht="28.2">
      <c r="A59" s="82"/>
      <c r="B59" s="82"/>
      <c r="C59" s="79" t="s">
        <v>220</v>
      </c>
      <c r="D59" s="80" t="s">
        <v>221</v>
      </c>
      <c r="E59" s="80" t="s">
        <v>101</v>
      </c>
      <c r="F59" s="81"/>
      <c r="G59" s="78"/>
      <c r="H59" s="78"/>
      <c r="I59" s="78"/>
      <c r="J59" s="78"/>
      <c r="K59" s="78"/>
      <c r="L59" s="78"/>
      <c r="M59" s="78"/>
      <c r="N59" s="78"/>
      <c r="O59" s="78"/>
      <c r="P59" s="78"/>
      <c r="Q59" s="78"/>
      <c r="R59" s="78"/>
      <c r="S59" s="78"/>
      <c r="T59" s="78"/>
      <c r="U59" s="78"/>
      <c r="V59" s="78"/>
      <c r="W59" s="78"/>
      <c r="X59" s="78"/>
      <c r="Y59" s="78"/>
      <c r="Z59" s="78"/>
    </row>
    <row r="60" spans="1:26" ht="14.4">
      <c r="A60" s="82"/>
      <c r="B60" s="82"/>
      <c r="C60" s="84" t="s">
        <v>222</v>
      </c>
      <c r="D60" s="80" t="s">
        <v>223</v>
      </c>
      <c r="E60" s="80" t="s">
        <v>101</v>
      </c>
      <c r="F60" s="81"/>
      <c r="G60" s="78"/>
      <c r="H60" s="78"/>
      <c r="I60" s="78"/>
      <c r="J60" s="78"/>
      <c r="K60" s="78"/>
      <c r="L60" s="78"/>
      <c r="M60" s="78"/>
      <c r="N60" s="78"/>
      <c r="O60" s="78"/>
      <c r="P60" s="78"/>
      <c r="Q60" s="78"/>
      <c r="R60" s="78"/>
      <c r="S60" s="78"/>
      <c r="T60" s="78"/>
      <c r="U60" s="78"/>
      <c r="V60" s="78"/>
      <c r="W60" s="78"/>
      <c r="X60" s="78"/>
      <c r="Y60" s="78"/>
      <c r="Z60" s="78"/>
    </row>
    <row r="61" spans="1:26" ht="14.4">
      <c r="A61" s="82"/>
      <c r="B61" s="82"/>
      <c r="C61" s="79" t="s">
        <v>224</v>
      </c>
      <c r="D61" s="80" t="s">
        <v>225</v>
      </c>
      <c r="E61" s="80" t="s">
        <v>101</v>
      </c>
      <c r="F61" s="81"/>
      <c r="G61" s="78"/>
      <c r="H61" s="78"/>
      <c r="I61" s="78"/>
      <c r="J61" s="78"/>
      <c r="K61" s="78"/>
      <c r="L61" s="78"/>
      <c r="M61" s="78"/>
      <c r="N61" s="78"/>
      <c r="O61" s="78"/>
      <c r="P61" s="78"/>
      <c r="Q61" s="78"/>
      <c r="R61" s="78"/>
      <c r="S61" s="78"/>
      <c r="T61" s="78"/>
      <c r="U61" s="78"/>
      <c r="V61" s="78"/>
      <c r="W61" s="78"/>
      <c r="X61" s="78"/>
      <c r="Y61" s="78"/>
      <c r="Z61" s="78"/>
    </row>
    <row r="62" spans="1:26" ht="28.2">
      <c r="A62" s="82"/>
      <c r="B62" s="82"/>
      <c r="C62" s="83" t="s">
        <v>226</v>
      </c>
      <c r="D62" s="80" t="s">
        <v>227</v>
      </c>
      <c r="E62" s="80" t="s">
        <v>101</v>
      </c>
      <c r="F62" s="81"/>
      <c r="G62" s="78"/>
      <c r="H62" s="78"/>
      <c r="I62" s="78"/>
      <c r="J62" s="78"/>
      <c r="K62" s="78"/>
      <c r="L62" s="78"/>
      <c r="M62" s="78"/>
      <c r="N62" s="78"/>
      <c r="O62" s="78"/>
      <c r="P62" s="78"/>
      <c r="Q62" s="78"/>
      <c r="R62" s="78"/>
      <c r="S62" s="78"/>
      <c r="T62" s="78"/>
      <c r="U62" s="78"/>
      <c r="V62" s="78"/>
      <c r="W62" s="78"/>
      <c r="X62" s="78"/>
      <c r="Y62" s="78"/>
      <c r="Z62" s="78"/>
    </row>
    <row r="63" spans="1:26" ht="14.4">
      <c r="A63" s="82"/>
      <c r="B63" s="82"/>
      <c r="C63" s="84" t="s">
        <v>228</v>
      </c>
      <c r="D63" s="80" t="s">
        <v>229</v>
      </c>
      <c r="E63" s="80" t="s">
        <v>101</v>
      </c>
      <c r="F63" s="81"/>
      <c r="G63" s="78"/>
      <c r="H63" s="78"/>
      <c r="I63" s="78"/>
      <c r="J63" s="78"/>
      <c r="K63" s="78"/>
      <c r="L63" s="78"/>
      <c r="M63" s="78"/>
      <c r="N63" s="78"/>
      <c r="O63" s="78"/>
      <c r="P63" s="78"/>
      <c r="Q63" s="78"/>
      <c r="R63" s="78"/>
      <c r="S63" s="78"/>
      <c r="T63" s="78"/>
      <c r="U63" s="78"/>
      <c r="V63" s="78"/>
      <c r="W63" s="78"/>
      <c r="X63" s="78"/>
      <c r="Y63" s="78"/>
      <c r="Z63" s="78"/>
    </row>
    <row r="64" spans="1:26" ht="28.2">
      <c r="A64" s="82"/>
      <c r="B64" s="82"/>
      <c r="C64" s="79" t="s">
        <v>230</v>
      </c>
      <c r="D64" s="80" t="s">
        <v>231</v>
      </c>
      <c r="E64" s="80" t="s">
        <v>101</v>
      </c>
      <c r="F64" s="81"/>
      <c r="G64" s="78"/>
      <c r="H64" s="78"/>
      <c r="I64" s="78"/>
      <c r="J64" s="78"/>
      <c r="K64" s="78"/>
      <c r="L64" s="78"/>
      <c r="M64" s="78"/>
      <c r="N64" s="78"/>
      <c r="O64" s="78"/>
      <c r="P64" s="78"/>
      <c r="Q64" s="78"/>
      <c r="R64" s="78"/>
      <c r="S64" s="78"/>
      <c r="T64" s="78"/>
      <c r="U64" s="78"/>
      <c r="V64" s="78"/>
      <c r="W64" s="78"/>
      <c r="X64" s="78"/>
      <c r="Y64" s="78"/>
      <c r="Z64" s="78"/>
    </row>
    <row r="65" spans="1:26" ht="28.2">
      <c r="A65" s="82"/>
      <c r="B65" s="82"/>
      <c r="C65" s="83" t="s">
        <v>120</v>
      </c>
      <c r="D65" s="80" t="s">
        <v>232</v>
      </c>
      <c r="E65" s="80" t="s">
        <v>101</v>
      </c>
      <c r="F65" s="81"/>
      <c r="G65" s="78"/>
      <c r="H65" s="78"/>
      <c r="I65" s="78"/>
      <c r="J65" s="78"/>
      <c r="K65" s="78"/>
      <c r="L65" s="78"/>
      <c r="M65" s="78"/>
      <c r="N65" s="78"/>
      <c r="O65" s="78"/>
      <c r="P65" s="78"/>
      <c r="Q65" s="78"/>
      <c r="R65" s="78"/>
      <c r="S65" s="78"/>
      <c r="T65" s="78"/>
      <c r="U65" s="78"/>
      <c r="V65" s="78"/>
      <c r="W65" s="78"/>
      <c r="X65" s="78"/>
      <c r="Y65" s="78"/>
      <c r="Z65" s="78"/>
    </row>
    <row r="66" spans="1:26" ht="28.2">
      <c r="A66" s="82"/>
      <c r="B66" s="84" t="s">
        <v>233</v>
      </c>
      <c r="C66" s="84" t="s">
        <v>234</v>
      </c>
      <c r="D66" s="80" t="s">
        <v>235</v>
      </c>
      <c r="E66" s="80" t="s">
        <v>125</v>
      </c>
      <c r="F66" s="81"/>
      <c r="G66" s="78"/>
      <c r="H66" s="78"/>
      <c r="I66" s="78"/>
      <c r="J66" s="78"/>
      <c r="K66" s="78"/>
      <c r="L66" s="78"/>
      <c r="M66" s="78"/>
      <c r="N66" s="78"/>
      <c r="O66" s="78"/>
      <c r="P66" s="78"/>
      <c r="Q66" s="78"/>
      <c r="R66" s="78"/>
      <c r="S66" s="78"/>
      <c r="T66" s="78"/>
      <c r="U66" s="78"/>
      <c r="V66" s="78"/>
      <c r="W66" s="78"/>
      <c r="X66" s="78"/>
      <c r="Y66" s="78"/>
      <c r="Z66" s="78"/>
    </row>
    <row r="67" spans="1:26" ht="14.4">
      <c r="A67" s="82"/>
      <c r="B67" s="86"/>
      <c r="C67" s="79" t="s">
        <v>236</v>
      </c>
      <c r="D67" s="80" t="s">
        <v>237</v>
      </c>
      <c r="E67" s="80" t="s">
        <v>101</v>
      </c>
      <c r="F67" s="81"/>
      <c r="G67" s="78"/>
      <c r="H67" s="78"/>
      <c r="I67" s="78"/>
      <c r="J67" s="78"/>
      <c r="K67" s="78"/>
      <c r="L67" s="78"/>
      <c r="M67" s="78"/>
      <c r="N67" s="78"/>
      <c r="O67" s="78"/>
      <c r="P67" s="78"/>
      <c r="Q67" s="78"/>
      <c r="R67" s="78"/>
      <c r="S67" s="78"/>
      <c r="T67" s="78"/>
      <c r="U67" s="78"/>
      <c r="V67" s="78"/>
      <c r="W67" s="78"/>
      <c r="X67" s="78"/>
      <c r="Y67" s="78"/>
      <c r="Z67" s="78"/>
    </row>
    <row r="68" spans="1:26" ht="14.4">
      <c r="A68" s="82"/>
      <c r="B68" s="82"/>
      <c r="C68" s="83" t="s">
        <v>238</v>
      </c>
      <c r="D68" s="80" t="s">
        <v>239</v>
      </c>
      <c r="E68" s="80" t="s">
        <v>101</v>
      </c>
      <c r="F68" s="81"/>
      <c r="G68" s="78"/>
      <c r="H68" s="78"/>
      <c r="I68" s="78"/>
      <c r="J68" s="78"/>
      <c r="K68" s="78"/>
      <c r="L68" s="78"/>
      <c r="M68" s="78"/>
      <c r="N68" s="78"/>
      <c r="O68" s="78"/>
      <c r="P68" s="78"/>
      <c r="Q68" s="78"/>
      <c r="R68" s="78"/>
      <c r="S68" s="78"/>
      <c r="T68" s="78"/>
      <c r="U68" s="78"/>
      <c r="V68" s="78"/>
      <c r="W68" s="78"/>
      <c r="X68" s="78"/>
      <c r="Y68" s="78"/>
      <c r="Z68" s="78"/>
    </row>
    <row r="69" spans="1:26" ht="14.4">
      <c r="A69" s="82"/>
      <c r="B69" s="82"/>
      <c r="C69" s="83" t="s">
        <v>240</v>
      </c>
      <c r="D69" s="80" t="s">
        <v>241</v>
      </c>
      <c r="E69" s="80" t="s">
        <v>101</v>
      </c>
      <c r="F69" s="81"/>
      <c r="G69" s="78"/>
      <c r="H69" s="78"/>
      <c r="I69" s="78"/>
      <c r="J69" s="78"/>
      <c r="K69" s="78"/>
      <c r="L69" s="78"/>
      <c r="M69" s="78"/>
      <c r="N69" s="78"/>
      <c r="O69" s="78"/>
      <c r="P69" s="78"/>
      <c r="Q69" s="78"/>
      <c r="R69" s="78"/>
      <c r="S69" s="78"/>
      <c r="T69" s="78"/>
      <c r="U69" s="78"/>
      <c r="V69" s="78"/>
      <c r="W69" s="78"/>
      <c r="X69" s="78"/>
      <c r="Y69" s="78"/>
      <c r="Z69" s="78"/>
    </row>
    <row r="70" spans="1:26" ht="28.2">
      <c r="A70" s="82"/>
      <c r="B70" s="82"/>
      <c r="C70" s="83" t="s">
        <v>242</v>
      </c>
      <c r="D70" s="80" t="s">
        <v>243</v>
      </c>
      <c r="E70" s="80" t="s">
        <v>101</v>
      </c>
      <c r="F70" s="81"/>
      <c r="G70" s="78"/>
      <c r="H70" s="78"/>
      <c r="I70" s="78"/>
      <c r="J70" s="78"/>
      <c r="K70" s="78"/>
      <c r="L70" s="78"/>
      <c r="M70" s="78"/>
      <c r="N70" s="78"/>
      <c r="O70" s="78"/>
      <c r="P70" s="78"/>
      <c r="Q70" s="78"/>
      <c r="R70" s="78"/>
      <c r="S70" s="78"/>
      <c r="T70" s="78"/>
      <c r="U70" s="78"/>
      <c r="V70" s="78"/>
      <c r="W70" s="78"/>
      <c r="X70" s="78"/>
      <c r="Y70" s="78"/>
      <c r="Z70" s="78"/>
    </row>
    <row r="71" spans="1:26" ht="28.2">
      <c r="A71" s="82"/>
      <c r="B71" s="83" t="s">
        <v>244</v>
      </c>
      <c r="C71" s="83" t="s">
        <v>192</v>
      </c>
      <c r="D71" s="80" t="s">
        <v>245</v>
      </c>
      <c r="E71" s="80" t="s">
        <v>125</v>
      </c>
      <c r="F71" s="81"/>
      <c r="G71" s="78"/>
      <c r="H71" s="78"/>
      <c r="I71" s="78"/>
      <c r="J71" s="78"/>
      <c r="K71" s="78"/>
      <c r="L71" s="78"/>
      <c r="M71" s="78"/>
      <c r="N71" s="78"/>
      <c r="O71" s="78"/>
      <c r="P71" s="78"/>
      <c r="Q71" s="78"/>
      <c r="R71" s="78"/>
      <c r="S71" s="78"/>
      <c r="T71" s="78"/>
      <c r="U71" s="78"/>
      <c r="V71" s="78"/>
      <c r="W71" s="78"/>
      <c r="X71" s="78"/>
      <c r="Y71" s="78"/>
      <c r="Z71" s="78"/>
    </row>
    <row r="72" spans="1:26" ht="28.2">
      <c r="A72" s="82"/>
      <c r="B72" s="82"/>
      <c r="C72" s="83" t="s">
        <v>246</v>
      </c>
      <c r="D72" s="80" t="s">
        <v>247</v>
      </c>
      <c r="E72" s="80" t="s">
        <v>101</v>
      </c>
      <c r="F72" s="81"/>
      <c r="G72" s="78"/>
      <c r="H72" s="78"/>
      <c r="I72" s="78"/>
      <c r="J72" s="78"/>
      <c r="K72" s="78"/>
      <c r="L72" s="78"/>
      <c r="M72" s="78"/>
      <c r="N72" s="78"/>
      <c r="O72" s="78"/>
      <c r="P72" s="78"/>
      <c r="Q72" s="78"/>
      <c r="R72" s="78"/>
      <c r="S72" s="78"/>
      <c r="T72" s="78"/>
      <c r="U72" s="78"/>
      <c r="V72" s="78"/>
      <c r="W72" s="78"/>
      <c r="X72" s="78"/>
      <c r="Y72" s="78"/>
      <c r="Z72" s="78"/>
    </row>
    <row r="73" spans="1:26" ht="14.4">
      <c r="A73" s="82"/>
      <c r="B73" s="82"/>
      <c r="C73" s="83" t="s">
        <v>248</v>
      </c>
      <c r="D73" s="80" t="s">
        <v>249</v>
      </c>
      <c r="E73" s="80" t="s">
        <v>101</v>
      </c>
      <c r="F73" s="81"/>
      <c r="G73" s="78"/>
      <c r="H73" s="78"/>
      <c r="I73" s="78"/>
      <c r="J73" s="78"/>
      <c r="K73" s="78"/>
      <c r="L73" s="78"/>
      <c r="M73" s="78"/>
      <c r="N73" s="78"/>
      <c r="O73" s="78"/>
      <c r="P73" s="78"/>
      <c r="Q73" s="78"/>
      <c r="R73" s="78"/>
      <c r="S73" s="78"/>
      <c r="T73" s="78"/>
      <c r="U73" s="78"/>
      <c r="V73" s="78"/>
      <c r="W73" s="78"/>
      <c r="X73" s="78"/>
      <c r="Y73" s="78"/>
      <c r="Z73" s="78"/>
    </row>
    <row r="74" spans="1:26" ht="28.2">
      <c r="A74" s="82"/>
      <c r="B74" s="82"/>
      <c r="C74" s="83" t="s">
        <v>250</v>
      </c>
      <c r="D74" s="80" t="s">
        <v>251</v>
      </c>
      <c r="E74" s="80" t="s">
        <v>101</v>
      </c>
      <c r="F74" s="81"/>
      <c r="G74" s="78"/>
      <c r="H74" s="78"/>
      <c r="I74" s="78"/>
      <c r="J74" s="78"/>
      <c r="K74" s="78"/>
      <c r="L74" s="78"/>
      <c r="M74" s="78"/>
      <c r="N74" s="78"/>
      <c r="O74" s="78"/>
      <c r="P74" s="78"/>
      <c r="Q74" s="78"/>
      <c r="R74" s="78"/>
      <c r="S74" s="78"/>
      <c r="T74" s="78"/>
      <c r="U74" s="78"/>
      <c r="V74" s="78"/>
      <c r="W74" s="78"/>
      <c r="X74" s="78"/>
      <c r="Y74" s="78"/>
      <c r="Z74" s="78"/>
    </row>
    <row r="75" spans="1:26" ht="28.2">
      <c r="A75" s="82"/>
      <c r="B75" s="82"/>
      <c r="C75" s="84" t="s">
        <v>252</v>
      </c>
      <c r="D75" s="80" t="s">
        <v>253</v>
      </c>
      <c r="E75" s="80" t="s">
        <v>101</v>
      </c>
      <c r="F75" s="81"/>
      <c r="G75" s="78"/>
      <c r="H75" s="78"/>
      <c r="I75" s="78"/>
      <c r="J75" s="78"/>
      <c r="K75" s="78"/>
      <c r="L75" s="78"/>
      <c r="M75" s="78"/>
      <c r="N75" s="78"/>
      <c r="O75" s="78"/>
      <c r="P75" s="78"/>
      <c r="Q75" s="78"/>
      <c r="R75" s="78"/>
      <c r="S75" s="78"/>
      <c r="T75" s="78"/>
      <c r="U75" s="78"/>
      <c r="V75" s="78"/>
      <c r="W75" s="78"/>
      <c r="X75" s="78"/>
      <c r="Y75" s="78"/>
      <c r="Z75" s="78"/>
    </row>
    <row r="76" spans="1:26" ht="28.2">
      <c r="A76" s="82"/>
      <c r="B76" s="82"/>
      <c r="C76" s="79" t="s">
        <v>254</v>
      </c>
      <c r="D76" s="80" t="s">
        <v>255</v>
      </c>
      <c r="E76" s="80" t="s">
        <v>101</v>
      </c>
      <c r="F76" s="81"/>
      <c r="G76" s="78"/>
      <c r="H76" s="78"/>
      <c r="I76" s="78"/>
      <c r="J76" s="78"/>
      <c r="K76" s="78"/>
      <c r="L76" s="78"/>
      <c r="M76" s="78"/>
      <c r="N76" s="78"/>
      <c r="O76" s="78"/>
      <c r="P76" s="78"/>
      <c r="Q76" s="78"/>
      <c r="R76" s="78"/>
      <c r="S76" s="78"/>
      <c r="T76" s="78"/>
      <c r="U76" s="78"/>
      <c r="V76" s="78"/>
      <c r="W76" s="78"/>
      <c r="X76" s="78"/>
      <c r="Y76" s="78"/>
      <c r="Z76" s="78"/>
    </row>
    <row r="77" spans="1:26" ht="28.2">
      <c r="A77" s="82"/>
      <c r="B77" s="82"/>
      <c r="C77" s="83" t="s">
        <v>204</v>
      </c>
      <c r="D77" s="80" t="s">
        <v>256</v>
      </c>
      <c r="E77" s="80" t="s">
        <v>101</v>
      </c>
      <c r="F77" s="81"/>
      <c r="G77" s="78"/>
      <c r="H77" s="78"/>
      <c r="I77" s="78"/>
      <c r="J77" s="78"/>
      <c r="K77" s="78"/>
      <c r="L77" s="78"/>
      <c r="M77" s="78"/>
      <c r="N77" s="78"/>
      <c r="O77" s="78"/>
      <c r="P77" s="78"/>
      <c r="Q77" s="78"/>
      <c r="R77" s="78"/>
      <c r="S77" s="78"/>
      <c r="T77" s="78"/>
      <c r="U77" s="78"/>
      <c r="V77" s="78"/>
      <c r="W77" s="78"/>
      <c r="X77" s="78"/>
      <c r="Y77" s="78"/>
      <c r="Z77" s="78"/>
    </row>
    <row r="78" spans="1:26" ht="28.2">
      <c r="A78" s="82"/>
      <c r="B78" s="82"/>
      <c r="C78" s="83" t="s">
        <v>257</v>
      </c>
      <c r="D78" s="80" t="s">
        <v>258</v>
      </c>
      <c r="E78" s="80" t="s">
        <v>101</v>
      </c>
      <c r="F78" s="81"/>
      <c r="G78" s="78"/>
      <c r="H78" s="78"/>
      <c r="I78" s="78"/>
      <c r="J78" s="78"/>
      <c r="K78" s="78"/>
      <c r="L78" s="78"/>
      <c r="M78" s="78"/>
      <c r="N78" s="78"/>
      <c r="O78" s="78"/>
      <c r="P78" s="78"/>
      <c r="Q78" s="78"/>
      <c r="R78" s="78"/>
      <c r="S78" s="78"/>
      <c r="T78" s="78"/>
      <c r="U78" s="78"/>
      <c r="V78" s="78"/>
      <c r="W78" s="78"/>
      <c r="X78" s="78"/>
      <c r="Y78" s="78"/>
      <c r="Z78" s="78"/>
    </row>
    <row r="79" spans="1:26" ht="28.2">
      <c r="A79" s="82"/>
      <c r="B79" s="83" t="s">
        <v>259</v>
      </c>
      <c r="C79" s="84" t="s">
        <v>207</v>
      </c>
      <c r="D79" s="80" t="s">
        <v>260</v>
      </c>
      <c r="E79" s="80" t="s">
        <v>125</v>
      </c>
      <c r="F79" s="81"/>
      <c r="G79" s="78"/>
      <c r="H79" s="78"/>
      <c r="I79" s="78"/>
      <c r="J79" s="78"/>
      <c r="K79" s="78"/>
      <c r="L79" s="78"/>
      <c r="M79" s="78"/>
      <c r="N79" s="78"/>
      <c r="O79" s="78"/>
      <c r="P79" s="78"/>
      <c r="Q79" s="78"/>
      <c r="R79" s="78"/>
      <c r="S79" s="78"/>
      <c r="T79" s="78"/>
      <c r="U79" s="78"/>
      <c r="V79" s="78"/>
      <c r="W79" s="78"/>
      <c r="X79" s="78"/>
      <c r="Y79" s="78"/>
      <c r="Z79" s="78"/>
    </row>
    <row r="80" spans="1:26" ht="14.4">
      <c r="A80" s="82"/>
      <c r="B80" s="82"/>
      <c r="C80" s="79" t="s">
        <v>152</v>
      </c>
      <c r="D80" s="80" t="s">
        <v>261</v>
      </c>
      <c r="E80" s="80" t="s">
        <v>101</v>
      </c>
      <c r="F80" s="81"/>
      <c r="G80" s="78"/>
      <c r="H80" s="78"/>
      <c r="I80" s="78"/>
      <c r="J80" s="78"/>
      <c r="K80" s="78"/>
      <c r="L80" s="78"/>
      <c r="M80" s="78"/>
      <c r="N80" s="78"/>
      <c r="O80" s="78"/>
      <c r="P80" s="78"/>
      <c r="Q80" s="78"/>
      <c r="R80" s="78"/>
      <c r="S80" s="78"/>
      <c r="T80" s="78"/>
      <c r="U80" s="78"/>
      <c r="V80" s="78"/>
      <c r="W80" s="78"/>
      <c r="X80" s="78"/>
      <c r="Y80" s="78"/>
      <c r="Z80" s="78"/>
    </row>
    <row r="81" spans="1:26" ht="28.2">
      <c r="A81" s="82"/>
      <c r="B81" s="82"/>
      <c r="C81" s="83" t="s">
        <v>262</v>
      </c>
      <c r="D81" s="80" t="s">
        <v>263</v>
      </c>
      <c r="E81" s="80" t="s">
        <v>101</v>
      </c>
      <c r="F81" s="81"/>
      <c r="G81" s="78"/>
      <c r="H81" s="78"/>
      <c r="I81" s="78"/>
      <c r="J81" s="78"/>
      <c r="K81" s="78"/>
      <c r="L81" s="78"/>
      <c r="M81" s="78"/>
      <c r="N81" s="78"/>
      <c r="O81" s="78"/>
      <c r="P81" s="78"/>
      <c r="Q81" s="78"/>
      <c r="R81" s="78"/>
      <c r="S81" s="78"/>
      <c r="T81" s="78"/>
      <c r="U81" s="78"/>
      <c r="V81" s="78"/>
      <c r="W81" s="78"/>
      <c r="X81" s="78"/>
      <c r="Y81" s="78"/>
      <c r="Z81" s="78"/>
    </row>
    <row r="82" spans="1:26" ht="14.4">
      <c r="A82" s="82"/>
      <c r="B82" s="82"/>
      <c r="C82" s="83" t="s">
        <v>264</v>
      </c>
      <c r="D82" s="80" t="s">
        <v>265</v>
      </c>
      <c r="E82" s="80" t="s">
        <v>101</v>
      </c>
      <c r="F82" s="81"/>
      <c r="G82" s="78"/>
      <c r="H82" s="78"/>
      <c r="I82" s="78"/>
      <c r="J82" s="78"/>
      <c r="K82" s="78"/>
      <c r="L82" s="78"/>
      <c r="M82" s="78"/>
      <c r="N82" s="78"/>
      <c r="O82" s="78"/>
      <c r="P82" s="78"/>
      <c r="Q82" s="78"/>
      <c r="R82" s="78"/>
      <c r="S82" s="78"/>
      <c r="T82" s="78"/>
      <c r="U82" s="78"/>
      <c r="V82" s="78"/>
      <c r="W82" s="78"/>
      <c r="X82" s="78"/>
      <c r="Y82" s="78"/>
      <c r="Z82" s="78"/>
    </row>
    <row r="83" spans="1:26" ht="28.2">
      <c r="A83" s="83" t="s">
        <v>266</v>
      </c>
      <c r="B83" s="83" t="s">
        <v>267</v>
      </c>
      <c r="C83" s="83" t="s">
        <v>268</v>
      </c>
      <c r="D83" s="80" t="s">
        <v>269</v>
      </c>
      <c r="E83" s="80" t="s">
        <v>101</v>
      </c>
      <c r="F83" s="80"/>
      <c r="G83" s="78"/>
      <c r="H83" s="78"/>
      <c r="I83" s="78"/>
      <c r="J83" s="78"/>
      <c r="K83" s="78"/>
      <c r="L83" s="78"/>
      <c r="M83" s="78"/>
      <c r="N83" s="78"/>
      <c r="O83" s="78"/>
      <c r="P83" s="78"/>
      <c r="Q83" s="78"/>
      <c r="R83" s="78"/>
      <c r="S83" s="78"/>
      <c r="T83" s="78"/>
      <c r="U83" s="78"/>
      <c r="V83" s="78"/>
      <c r="W83" s="78"/>
      <c r="X83" s="78"/>
      <c r="Y83" s="78"/>
      <c r="Z83" s="78"/>
    </row>
    <row r="84" spans="1:26" ht="14.4">
      <c r="A84" s="82"/>
      <c r="B84" s="82"/>
      <c r="C84" s="83" t="s">
        <v>270</v>
      </c>
      <c r="D84" s="80" t="s">
        <v>271</v>
      </c>
      <c r="E84" s="80" t="s">
        <v>125</v>
      </c>
      <c r="F84" s="80"/>
      <c r="G84" s="78"/>
      <c r="H84" s="78"/>
      <c r="I84" s="78"/>
      <c r="J84" s="78"/>
      <c r="K84" s="78"/>
      <c r="L84" s="78"/>
      <c r="M84" s="78"/>
      <c r="N84" s="78"/>
      <c r="O84" s="78"/>
      <c r="P84" s="78"/>
      <c r="Q84" s="78"/>
      <c r="R84" s="78"/>
      <c r="S84" s="78"/>
      <c r="T84" s="78"/>
      <c r="U84" s="78"/>
      <c r="V84" s="78"/>
      <c r="W84" s="78"/>
      <c r="X84" s="78"/>
      <c r="Y84" s="78"/>
      <c r="Z84" s="78"/>
    </row>
    <row r="85" spans="1:26" ht="28.2">
      <c r="A85" s="82"/>
      <c r="B85" s="82"/>
      <c r="C85" s="83" t="s">
        <v>99</v>
      </c>
      <c r="D85" s="80" t="s">
        <v>272</v>
      </c>
      <c r="E85" s="80" t="s">
        <v>101</v>
      </c>
      <c r="F85" s="80"/>
      <c r="G85" s="78"/>
      <c r="H85" s="78"/>
      <c r="I85" s="78"/>
      <c r="J85" s="78"/>
      <c r="K85" s="78"/>
      <c r="L85" s="78"/>
      <c r="M85" s="78"/>
      <c r="N85" s="78"/>
      <c r="O85" s="78"/>
      <c r="P85" s="78"/>
      <c r="Q85" s="78"/>
      <c r="R85" s="78"/>
      <c r="S85" s="78"/>
      <c r="T85" s="78"/>
      <c r="U85" s="78"/>
      <c r="V85" s="78"/>
      <c r="W85" s="78"/>
      <c r="X85" s="78"/>
      <c r="Y85" s="78"/>
      <c r="Z85" s="78"/>
    </row>
    <row r="86" spans="1:26" ht="14.4">
      <c r="A86" s="82"/>
      <c r="B86" s="82"/>
      <c r="C86" s="83" t="s">
        <v>273</v>
      </c>
      <c r="D86" s="80" t="s">
        <v>274</v>
      </c>
      <c r="E86" s="80" t="s">
        <v>101</v>
      </c>
      <c r="F86" s="80"/>
      <c r="G86" s="78"/>
      <c r="H86" s="78"/>
      <c r="I86" s="78"/>
      <c r="J86" s="78"/>
      <c r="K86" s="78"/>
      <c r="L86" s="78"/>
      <c r="M86" s="78"/>
      <c r="N86" s="78"/>
      <c r="O86" s="78"/>
      <c r="P86" s="78"/>
      <c r="Q86" s="78"/>
      <c r="R86" s="78"/>
      <c r="S86" s="78"/>
      <c r="T86" s="78"/>
      <c r="U86" s="78"/>
      <c r="V86" s="78"/>
      <c r="W86" s="78"/>
      <c r="X86" s="78"/>
      <c r="Y86" s="78"/>
      <c r="Z86" s="78"/>
    </row>
    <row r="87" spans="1:26" ht="14.4">
      <c r="A87" s="82"/>
      <c r="B87" s="82"/>
      <c r="C87" s="83" t="s">
        <v>275</v>
      </c>
      <c r="D87" s="80" t="s">
        <v>276</v>
      </c>
      <c r="E87" s="80" t="s">
        <v>101</v>
      </c>
      <c r="F87" s="80"/>
      <c r="G87" s="78"/>
      <c r="H87" s="78"/>
      <c r="I87" s="78"/>
      <c r="J87" s="78"/>
      <c r="K87" s="78"/>
      <c r="L87" s="78"/>
      <c r="M87" s="78"/>
      <c r="N87" s="78"/>
      <c r="O87" s="78"/>
      <c r="P87" s="78"/>
      <c r="Q87" s="78"/>
      <c r="R87" s="78"/>
      <c r="S87" s="78"/>
      <c r="T87" s="78"/>
      <c r="U87" s="78"/>
      <c r="V87" s="78"/>
      <c r="W87" s="78"/>
      <c r="X87" s="78"/>
      <c r="Y87" s="78"/>
      <c r="Z87" s="78"/>
    </row>
    <row r="88" spans="1:26" ht="28.2">
      <c r="A88" s="82"/>
      <c r="B88" s="82"/>
      <c r="C88" s="83" t="s">
        <v>277</v>
      </c>
      <c r="D88" s="80" t="s">
        <v>278</v>
      </c>
      <c r="E88" s="80" t="s">
        <v>101</v>
      </c>
      <c r="F88" s="80"/>
      <c r="G88" s="78"/>
      <c r="H88" s="78"/>
      <c r="I88" s="78"/>
      <c r="J88" s="78"/>
      <c r="K88" s="78"/>
      <c r="L88" s="78"/>
      <c r="M88" s="78"/>
      <c r="N88" s="78"/>
      <c r="O88" s="78"/>
      <c r="P88" s="78"/>
      <c r="Q88" s="78"/>
      <c r="R88" s="78"/>
      <c r="S88" s="78"/>
      <c r="T88" s="78"/>
      <c r="U88" s="78"/>
      <c r="V88" s="78"/>
      <c r="W88" s="78"/>
      <c r="X88" s="78"/>
      <c r="Y88" s="78"/>
      <c r="Z88" s="78"/>
    </row>
    <row r="89" spans="1:26" ht="14.4">
      <c r="A89" s="82"/>
      <c r="B89" s="82"/>
      <c r="C89" s="83" t="s">
        <v>120</v>
      </c>
      <c r="D89" s="80" t="s">
        <v>279</v>
      </c>
      <c r="E89" s="80" t="s">
        <v>101</v>
      </c>
      <c r="F89" s="80"/>
      <c r="G89" s="78"/>
      <c r="H89" s="78"/>
      <c r="I89" s="78"/>
      <c r="J89" s="78"/>
      <c r="K89" s="78"/>
      <c r="L89" s="78"/>
      <c r="M89" s="78"/>
      <c r="N89" s="78"/>
      <c r="O89" s="78"/>
      <c r="P89" s="78"/>
      <c r="Q89" s="78"/>
      <c r="R89" s="78"/>
      <c r="S89" s="78"/>
      <c r="T89" s="78"/>
      <c r="U89" s="78"/>
      <c r="V89" s="78"/>
      <c r="W89" s="78"/>
      <c r="X89" s="78"/>
      <c r="Y89" s="78"/>
      <c r="Z89" s="78"/>
    </row>
    <row r="90" spans="1:26" ht="14.4">
      <c r="A90" s="82"/>
      <c r="B90" s="82"/>
      <c r="C90" s="83" t="s">
        <v>280</v>
      </c>
      <c r="D90" s="80" t="s">
        <v>281</v>
      </c>
      <c r="E90" s="80" t="s">
        <v>101</v>
      </c>
      <c r="F90" s="80"/>
      <c r="G90" s="78"/>
      <c r="H90" s="78"/>
      <c r="I90" s="78"/>
      <c r="J90" s="78"/>
      <c r="K90" s="78"/>
      <c r="L90" s="78"/>
      <c r="M90" s="78"/>
      <c r="N90" s="78"/>
      <c r="O90" s="78"/>
      <c r="P90" s="78"/>
      <c r="Q90" s="78"/>
      <c r="R90" s="78"/>
      <c r="S90" s="78"/>
      <c r="T90" s="78"/>
      <c r="U90" s="78"/>
      <c r="V90" s="78"/>
      <c r="W90" s="78"/>
      <c r="X90" s="78"/>
      <c r="Y90" s="78"/>
      <c r="Z90" s="78"/>
    </row>
    <row r="91" spans="1:26" ht="14.4">
      <c r="A91" s="82"/>
      <c r="B91" s="82"/>
      <c r="C91" s="83" t="s">
        <v>282</v>
      </c>
      <c r="D91" s="80" t="s">
        <v>283</v>
      </c>
      <c r="E91" s="80" t="s">
        <v>101</v>
      </c>
      <c r="F91" s="80"/>
      <c r="G91" s="78"/>
      <c r="H91" s="78"/>
      <c r="I91" s="78"/>
      <c r="J91" s="78"/>
      <c r="K91" s="78"/>
      <c r="L91" s="78"/>
      <c r="M91" s="78"/>
      <c r="N91" s="78"/>
      <c r="O91" s="78"/>
      <c r="P91" s="78"/>
      <c r="Q91" s="78"/>
      <c r="R91" s="78"/>
      <c r="S91" s="78"/>
      <c r="T91" s="78"/>
      <c r="U91" s="78"/>
      <c r="V91" s="78"/>
      <c r="W91" s="78"/>
      <c r="X91" s="78"/>
      <c r="Y91" s="78"/>
      <c r="Z91" s="78"/>
    </row>
    <row r="92" spans="1:26" ht="14.4">
      <c r="A92" s="82"/>
      <c r="B92" s="82"/>
      <c r="C92" s="83" t="s">
        <v>284</v>
      </c>
      <c r="D92" s="80" t="s">
        <v>285</v>
      </c>
      <c r="E92" s="80" t="s">
        <v>101</v>
      </c>
      <c r="F92" s="80"/>
      <c r="G92" s="78"/>
      <c r="H92" s="78"/>
      <c r="I92" s="78"/>
      <c r="J92" s="78"/>
      <c r="K92" s="78"/>
      <c r="L92" s="78"/>
      <c r="M92" s="78"/>
      <c r="N92" s="78"/>
      <c r="O92" s="78"/>
      <c r="P92" s="78"/>
      <c r="Q92" s="78"/>
      <c r="R92" s="78"/>
      <c r="S92" s="78"/>
      <c r="T92" s="78"/>
      <c r="U92" s="78"/>
      <c r="V92" s="78"/>
      <c r="W92" s="78"/>
      <c r="X92" s="78"/>
      <c r="Y92" s="78"/>
      <c r="Z92" s="78"/>
    </row>
    <row r="93" spans="1:26" ht="14.4">
      <c r="A93" s="82"/>
      <c r="B93" s="82"/>
      <c r="C93" s="83" t="s">
        <v>284</v>
      </c>
      <c r="D93" s="80" t="s">
        <v>286</v>
      </c>
      <c r="E93" s="80" t="s">
        <v>101</v>
      </c>
      <c r="F93" s="80"/>
      <c r="G93" s="78"/>
      <c r="H93" s="78"/>
      <c r="I93" s="78"/>
      <c r="J93" s="78"/>
      <c r="K93" s="78"/>
      <c r="L93" s="78"/>
      <c r="M93" s="78"/>
      <c r="N93" s="78"/>
      <c r="O93" s="78"/>
      <c r="P93" s="78"/>
      <c r="Q93" s="78"/>
      <c r="R93" s="78"/>
      <c r="S93" s="78"/>
      <c r="T93" s="78"/>
      <c r="U93" s="78"/>
      <c r="V93" s="78"/>
      <c r="W93" s="78"/>
      <c r="X93" s="78"/>
      <c r="Y93" s="78"/>
      <c r="Z93" s="78"/>
    </row>
    <row r="94" spans="1:26" ht="28.2">
      <c r="A94" s="82"/>
      <c r="B94" s="83" t="s">
        <v>287</v>
      </c>
      <c r="C94" s="83" t="s">
        <v>123</v>
      </c>
      <c r="D94" s="80" t="s">
        <v>288</v>
      </c>
      <c r="E94" s="80" t="s">
        <v>101</v>
      </c>
      <c r="F94" s="80"/>
      <c r="G94" s="78"/>
      <c r="H94" s="78"/>
      <c r="I94" s="78"/>
      <c r="J94" s="78"/>
      <c r="K94" s="78"/>
      <c r="L94" s="78"/>
      <c r="M94" s="78"/>
      <c r="N94" s="78"/>
      <c r="O94" s="78"/>
      <c r="P94" s="78"/>
      <c r="Q94" s="78"/>
      <c r="R94" s="78"/>
      <c r="S94" s="78"/>
      <c r="T94" s="78"/>
      <c r="U94" s="78"/>
      <c r="V94" s="78"/>
      <c r="W94" s="78"/>
      <c r="X94" s="78"/>
      <c r="Y94" s="78"/>
      <c r="Z94" s="78"/>
    </row>
    <row r="95" spans="1:26" ht="14.4">
      <c r="A95" s="82"/>
      <c r="B95" s="82"/>
      <c r="C95" s="83" t="s">
        <v>289</v>
      </c>
      <c r="D95" s="80" t="s">
        <v>290</v>
      </c>
      <c r="E95" s="80" t="s">
        <v>125</v>
      </c>
      <c r="F95" s="80"/>
      <c r="G95" s="78"/>
      <c r="H95" s="78"/>
      <c r="I95" s="78"/>
      <c r="J95" s="78"/>
      <c r="K95" s="78"/>
      <c r="L95" s="78"/>
      <c r="M95" s="78"/>
      <c r="N95" s="78"/>
      <c r="O95" s="78"/>
      <c r="P95" s="78"/>
      <c r="Q95" s="78"/>
      <c r="R95" s="78"/>
      <c r="S95" s="78"/>
      <c r="T95" s="78"/>
      <c r="U95" s="78"/>
      <c r="V95" s="78"/>
      <c r="W95" s="78"/>
      <c r="X95" s="78"/>
      <c r="Y95" s="78"/>
      <c r="Z95" s="78"/>
    </row>
    <row r="96" spans="1:26" ht="14.4">
      <c r="A96" s="82"/>
      <c r="B96" s="82"/>
      <c r="C96" s="83" t="s">
        <v>291</v>
      </c>
      <c r="D96" s="80" t="s">
        <v>292</v>
      </c>
      <c r="E96" s="80" t="s">
        <v>101</v>
      </c>
      <c r="F96" s="80"/>
      <c r="G96" s="78"/>
      <c r="H96" s="78"/>
      <c r="I96" s="78"/>
      <c r="J96" s="78"/>
      <c r="K96" s="78"/>
      <c r="L96" s="78"/>
      <c r="M96" s="78"/>
      <c r="N96" s="78"/>
      <c r="O96" s="78"/>
      <c r="P96" s="78"/>
      <c r="Q96" s="78"/>
      <c r="R96" s="78"/>
      <c r="S96" s="78"/>
      <c r="T96" s="78"/>
      <c r="U96" s="78"/>
      <c r="V96" s="78"/>
      <c r="W96" s="78"/>
      <c r="X96" s="78"/>
      <c r="Y96" s="78"/>
      <c r="Z96" s="78"/>
    </row>
    <row r="97" spans="1:26" ht="14.4">
      <c r="A97" s="82"/>
      <c r="B97" s="82"/>
      <c r="C97" s="83" t="s">
        <v>130</v>
      </c>
      <c r="D97" s="80" t="s">
        <v>293</v>
      </c>
      <c r="E97" s="80" t="s">
        <v>101</v>
      </c>
      <c r="F97" s="80"/>
      <c r="G97" s="78"/>
      <c r="H97" s="78"/>
      <c r="I97" s="78"/>
      <c r="J97" s="78"/>
      <c r="K97" s="78"/>
      <c r="L97" s="78"/>
      <c r="M97" s="78"/>
      <c r="N97" s="78"/>
      <c r="O97" s="78"/>
      <c r="P97" s="78"/>
      <c r="Q97" s="78"/>
      <c r="R97" s="78"/>
      <c r="S97" s="78"/>
      <c r="T97" s="78"/>
      <c r="U97" s="78"/>
      <c r="V97" s="78"/>
      <c r="W97" s="78"/>
      <c r="X97" s="78"/>
      <c r="Y97" s="78"/>
      <c r="Z97" s="78"/>
    </row>
    <row r="98" spans="1:26" ht="14.4">
      <c r="A98" s="82"/>
      <c r="B98" s="82"/>
      <c r="C98" s="83" t="s">
        <v>294</v>
      </c>
      <c r="D98" s="80" t="s">
        <v>295</v>
      </c>
      <c r="E98" s="80" t="s">
        <v>101</v>
      </c>
      <c r="F98" s="80"/>
      <c r="G98" s="78"/>
      <c r="H98" s="78"/>
      <c r="I98" s="78"/>
      <c r="J98" s="78"/>
      <c r="K98" s="78"/>
      <c r="L98" s="78"/>
      <c r="M98" s="78"/>
      <c r="N98" s="78"/>
      <c r="O98" s="78"/>
      <c r="P98" s="78"/>
      <c r="Q98" s="78"/>
      <c r="R98" s="78"/>
      <c r="S98" s="78"/>
      <c r="T98" s="78"/>
      <c r="U98" s="78"/>
      <c r="V98" s="78"/>
      <c r="W98" s="78"/>
      <c r="X98" s="78"/>
      <c r="Y98" s="78"/>
      <c r="Z98" s="78"/>
    </row>
    <row r="99" spans="1:26" ht="14.4">
      <c r="A99" s="82"/>
      <c r="B99" s="82"/>
      <c r="C99" s="83" t="s">
        <v>296</v>
      </c>
      <c r="D99" s="80" t="s">
        <v>297</v>
      </c>
      <c r="E99" s="80" t="s">
        <v>101</v>
      </c>
      <c r="F99" s="80"/>
      <c r="G99" s="78"/>
      <c r="H99" s="78"/>
      <c r="I99" s="78"/>
      <c r="J99" s="78"/>
      <c r="K99" s="78"/>
      <c r="L99" s="78"/>
      <c r="M99" s="78"/>
      <c r="N99" s="78"/>
      <c r="O99" s="78"/>
      <c r="P99" s="78"/>
      <c r="Q99" s="78"/>
      <c r="R99" s="78"/>
      <c r="S99" s="78"/>
      <c r="T99" s="78"/>
      <c r="U99" s="78"/>
      <c r="V99" s="78"/>
      <c r="W99" s="78"/>
      <c r="X99" s="78"/>
      <c r="Y99" s="78"/>
      <c r="Z99" s="78"/>
    </row>
    <row r="100" spans="1:26" ht="14.4">
      <c r="A100" s="82"/>
      <c r="B100" s="82"/>
      <c r="C100" s="83" t="s">
        <v>298</v>
      </c>
      <c r="D100" s="80" t="s">
        <v>299</v>
      </c>
      <c r="E100" s="80" t="s">
        <v>101</v>
      </c>
      <c r="F100" s="80"/>
      <c r="G100" s="78"/>
      <c r="H100" s="78"/>
      <c r="I100" s="78"/>
      <c r="J100" s="78"/>
      <c r="K100" s="78"/>
      <c r="L100" s="78"/>
      <c r="M100" s="78"/>
      <c r="N100" s="78"/>
      <c r="O100" s="78"/>
      <c r="P100" s="78"/>
      <c r="Q100" s="78"/>
      <c r="R100" s="78"/>
      <c r="S100" s="78"/>
      <c r="T100" s="78"/>
      <c r="U100" s="78"/>
      <c r="V100" s="78"/>
      <c r="W100" s="78"/>
      <c r="X100" s="78"/>
      <c r="Y100" s="78"/>
      <c r="Z100" s="78"/>
    </row>
    <row r="101" spans="1:26" ht="14.4">
      <c r="A101" s="82"/>
      <c r="B101" s="82"/>
      <c r="C101" s="83" t="s">
        <v>300</v>
      </c>
      <c r="D101" s="80" t="s">
        <v>301</v>
      </c>
      <c r="E101" s="80" t="s">
        <v>101</v>
      </c>
      <c r="F101" s="80"/>
      <c r="G101" s="78"/>
      <c r="H101" s="78"/>
      <c r="I101" s="78"/>
      <c r="J101" s="78"/>
      <c r="K101" s="78"/>
      <c r="L101" s="78"/>
      <c r="M101" s="78"/>
      <c r="N101" s="78"/>
      <c r="O101" s="78"/>
      <c r="P101" s="78"/>
      <c r="Q101" s="78"/>
      <c r="R101" s="78"/>
      <c r="S101" s="78"/>
      <c r="T101" s="78"/>
      <c r="U101" s="78"/>
      <c r="V101" s="78"/>
      <c r="W101" s="78"/>
      <c r="X101" s="78"/>
      <c r="Y101" s="78"/>
      <c r="Z101" s="78"/>
    </row>
    <row r="102" spans="1:26" ht="14.4">
      <c r="A102" s="82"/>
      <c r="B102" s="82"/>
      <c r="C102" s="83" t="s">
        <v>300</v>
      </c>
      <c r="D102" s="80" t="s">
        <v>302</v>
      </c>
      <c r="E102" s="80" t="s">
        <v>101</v>
      </c>
      <c r="F102" s="80"/>
      <c r="G102" s="78"/>
      <c r="H102" s="78"/>
      <c r="I102" s="78"/>
      <c r="J102" s="78"/>
      <c r="K102" s="78"/>
      <c r="L102" s="78"/>
      <c r="M102" s="78"/>
      <c r="N102" s="78"/>
      <c r="O102" s="78"/>
      <c r="P102" s="78"/>
      <c r="Q102" s="78"/>
      <c r="R102" s="78"/>
      <c r="S102" s="78"/>
      <c r="T102" s="78"/>
      <c r="U102" s="78"/>
      <c r="V102" s="78"/>
      <c r="W102" s="78"/>
      <c r="X102" s="78"/>
      <c r="Y102" s="78"/>
      <c r="Z102" s="78"/>
    </row>
    <row r="103" spans="1:26" ht="14.4">
      <c r="A103" s="82"/>
      <c r="B103" s="82"/>
      <c r="C103" s="83" t="s">
        <v>303</v>
      </c>
      <c r="D103" s="80" t="s">
        <v>304</v>
      </c>
      <c r="E103" s="80" t="s">
        <v>101</v>
      </c>
      <c r="F103" s="80"/>
      <c r="G103" s="78"/>
      <c r="H103" s="78"/>
      <c r="I103" s="78"/>
      <c r="J103" s="78"/>
      <c r="K103" s="78"/>
      <c r="L103" s="78"/>
      <c r="M103" s="78"/>
      <c r="N103" s="78"/>
      <c r="O103" s="78"/>
      <c r="P103" s="78"/>
      <c r="Q103" s="78"/>
      <c r="R103" s="78"/>
      <c r="S103" s="78"/>
      <c r="T103" s="78"/>
      <c r="U103" s="78"/>
      <c r="V103" s="78"/>
      <c r="W103" s="78"/>
      <c r="X103" s="78"/>
      <c r="Y103" s="78"/>
      <c r="Z103" s="78"/>
    </row>
    <row r="104" spans="1:26" ht="14.4">
      <c r="A104" s="82"/>
      <c r="B104" s="82"/>
      <c r="C104" s="83" t="s">
        <v>305</v>
      </c>
      <c r="D104" s="80" t="s">
        <v>306</v>
      </c>
      <c r="E104" s="80" t="s">
        <v>101</v>
      </c>
      <c r="F104" s="80"/>
      <c r="G104" s="78"/>
      <c r="H104" s="78"/>
      <c r="I104" s="78"/>
      <c r="J104" s="78"/>
      <c r="K104" s="78"/>
      <c r="L104" s="78"/>
      <c r="M104" s="78"/>
      <c r="N104" s="78"/>
      <c r="O104" s="78"/>
      <c r="P104" s="78"/>
      <c r="Q104" s="78"/>
      <c r="R104" s="78"/>
      <c r="S104" s="78"/>
      <c r="T104" s="78"/>
      <c r="U104" s="78"/>
      <c r="V104" s="78"/>
      <c r="W104" s="78"/>
      <c r="X104" s="78"/>
      <c r="Y104" s="78"/>
      <c r="Z104" s="78"/>
    </row>
    <row r="105" spans="1:26" ht="14.4">
      <c r="A105" s="82"/>
      <c r="B105" s="83" t="s">
        <v>307</v>
      </c>
      <c r="C105" s="83" t="s">
        <v>308</v>
      </c>
      <c r="D105" s="80" t="s">
        <v>309</v>
      </c>
      <c r="E105" s="80" t="s">
        <v>101</v>
      </c>
      <c r="F105" s="80"/>
      <c r="G105" s="78"/>
      <c r="H105" s="78"/>
      <c r="I105" s="78"/>
      <c r="J105" s="78"/>
      <c r="K105" s="78"/>
      <c r="L105" s="78"/>
      <c r="M105" s="78"/>
      <c r="N105" s="78"/>
      <c r="O105" s="78"/>
      <c r="P105" s="78"/>
      <c r="Q105" s="78"/>
      <c r="R105" s="78"/>
      <c r="S105" s="78"/>
      <c r="T105" s="78"/>
      <c r="U105" s="78"/>
      <c r="V105" s="78"/>
      <c r="W105" s="78"/>
      <c r="X105" s="78"/>
      <c r="Y105" s="78"/>
      <c r="Z105" s="78"/>
    </row>
    <row r="106" spans="1:26" ht="14.4">
      <c r="A106" s="82"/>
      <c r="B106" s="82"/>
      <c r="C106" s="83" t="s">
        <v>147</v>
      </c>
      <c r="D106" s="80" t="s">
        <v>310</v>
      </c>
      <c r="E106" s="80" t="s">
        <v>101</v>
      </c>
      <c r="F106" s="80"/>
      <c r="G106" s="78"/>
      <c r="H106" s="78"/>
      <c r="I106" s="78"/>
      <c r="J106" s="78"/>
      <c r="K106" s="78"/>
      <c r="L106" s="78"/>
      <c r="M106" s="78"/>
      <c r="N106" s="78"/>
      <c r="O106" s="78"/>
      <c r="P106" s="78"/>
      <c r="Q106" s="78"/>
      <c r="R106" s="78"/>
      <c r="S106" s="78"/>
      <c r="T106" s="78"/>
      <c r="U106" s="78"/>
      <c r="V106" s="78"/>
      <c r="W106" s="78"/>
      <c r="X106" s="78"/>
      <c r="Y106" s="78"/>
      <c r="Z106" s="78"/>
    </row>
    <row r="107" spans="1:26" ht="14.4">
      <c r="A107" s="82"/>
      <c r="B107" s="83" t="s">
        <v>311</v>
      </c>
      <c r="C107" s="83" t="s">
        <v>312</v>
      </c>
      <c r="D107" s="80" t="s">
        <v>313</v>
      </c>
      <c r="E107" s="80" t="s">
        <v>101</v>
      </c>
      <c r="F107" s="80"/>
      <c r="G107" s="78"/>
      <c r="H107" s="78"/>
      <c r="I107" s="78"/>
      <c r="J107" s="78"/>
      <c r="K107" s="78"/>
      <c r="L107" s="78"/>
      <c r="M107" s="78"/>
      <c r="N107" s="78"/>
      <c r="O107" s="78"/>
      <c r="P107" s="78"/>
      <c r="Q107" s="78"/>
      <c r="R107" s="78"/>
      <c r="S107" s="78"/>
      <c r="T107" s="78"/>
      <c r="U107" s="78"/>
      <c r="V107" s="78"/>
      <c r="W107" s="78"/>
      <c r="X107" s="78"/>
      <c r="Y107" s="78"/>
      <c r="Z107" s="78"/>
    </row>
    <row r="108" spans="1:26" ht="14.4">
      <c r="A108" s="82"/>
      <c r="B108" s="82"/>
      <c r="C108" s="83" t="s">
        <v>152</v>
      </c>
      <c r="D108" s="80" t="s">
        <v>314</v>
      </c>
      <c r="E108" s="80" t="s">
        <v>101</v>
      </c>
      <c r="F108" s="80"/>
      <c r="G108" s="78"/>
      <c r="H108" s="78"/>
      <c r="I108" s="78"/>
      <c r="J108" s="78"/>
      <c r="K108" s="78"/>
      <c r="L108" s="78"/>
      <c r="M108" s="78"/>
      <c r="N108" s="78"/>
      <c r="O108" s="78"/>
      <c r="P108" s="78"/>
      <c r="Q108" s="78"/>
      <c r="R108" s="78"/>
      <c r="S108" s="78"/>
      <c r="T108" s="78"/>
      <c r="U108" s="78"/>
      <c r="V108" s="78"/>
      <c r="W108" s="78"/>
      <c r="X108" s="78"/>
      <c r="Y108" s="78"/>
      <c r="Z108" s="78"/>
    </row>
    <row r="109" spans="1:26" ht="14.4">
      <c r="A109" s="83" t="s">
        <v>315</v>
      </c>
      <c r="B109" s="83" t="s">
        <v>316</v>
      </c>
      <c r="C109" s="83" t="s">
        <v>268</v>
      </c>
      <c r="D109" s="80" t="s">
        <v>317</v>
      </c>
      <c r="E109" s="80" t="s">
        <v>125</v>
      </c>
      <c r="F109" s="80"/>
      <c r="G109" s="78"/>
      <c r="H109" s="78"/>
      <c r="I109" s="78"/>
      <c r="J109" s="78"/>
      <c r="K109" s="78"/>
      <c r="L109" s="78"/>
      <c r="M109" s="78"/>
      <c r="N109" s="78"/>
      <c r="O109" s="78"/>
      <c r="P109" s="78"/>
      <c r="Q109" s="78"/>
      <c r="R109" s="78"/>
      <c r="S109" s="78"/>
      <c r="T109" s="78"/>
      <c r="U109" s="78"/>
      <c r="V109" s="78"/>
      <c r="W109" s="78"/>
      <c r="X109" s="78"/>
      <c r="Y109" s="78"/>
      <c r="Z109" s="78"/>
    </row>
    <row r="110" spans="1:26" ht="14.4">
      <c r="A110" s="82"/>
      <c r="B110" s="82"/>
      <c r="C110" s="83" t="s">
        <v>318</v>
      </c>
      <c r="D110" s="80" t="s">
        <v>319</v>
      </c>
      <c r="E110" s="80" t="s">
        <v>101</v>
      </c>
      <c r="F110" s="81"/>
      <c r="G110" s="78"/>
      <c r="H110" s="78"/>
      <c r="I110" s="78"/>
      <c r="J110" s="78"/>
      <c r="K110" s="78"/>
      <c r="L110" s="78"/>
      <c r="M110" s="78"/>
      <c r="N110" s="78"/>
      <c r="O110" s="78"/>
      <c r="P110" s="78"/>
      <c r="Q110" s="78"/>
      <c r="R110" s="78"/>
      <c r="S110" s="78"/>
      <c r="T110" s="78"/>
      <c r="U110" s="78"/>
      <c r="V110" s="78"/>
      <c r="W110" s="78"/>
      <c r="X110" s="78"/>
      <c r="Y110" s="78"/>
      <c r="Z110" s="78"/>
    </row>
    <row r="111" spans="1:26" ht="14.4">
      <c r="A111" s="82"/>
      <c r="B111" s="82"/>
      <c r="C111" s="83" t="s">
        <v>99</v>
      </c>
      <c r="D111" s="80" t="s">
        <v>320</v>
      </c>
      <c r="E111" s="80" t="s">
        <v>101</v>
      </c>
      <c r="F111" s="81"/>
      <c r="G111" s="78"/>
      <c r="H111" s="78"/>
      <c r="I111" s="78"/>
      <c r="J111" s="78"/>
      <c r="K111" s="78"/>
      <c r="L111" s="78"/>
      <c r="M111" s="78"/>
      <c r="N111" s="78"/>
      <c r="O111" s="78"/>
      <c r="P111" s="78"/>
      <c r="Q111" s="78"/>
      <c r="R111" s="78"/>
      <c r="S111" s="78"/>
      <c r="T111" s="78"/>
      <c r="U111" s="78"/>
      <c r="V111" s="78"/>
      <c r="W111" s="78"/>
      <c r="X111" s="78"/>
      <c r="Y111" s="78"/>
      <c r="Z111" s="78"/>
    </row>
    <row r="112" spans="1:26" ht="14.4">
      <c r="A112" s="82"/>
      <c r="B112" s="82"/>
      <c r="C112" s="83" t="s">
        <v>120</v>
      </c>
      <c r="D112" s="80" t="s">
        <v>321</v>
      </c>
      <c r="E112" s="80" t="s">
        <v>101</v>
      </c>
      <c r="F112" s="81"/>
      <c r="G112" s="78"/>
      <c r="H112" s="78"/>
      <c r="I112" s="78"/>
      <c r="J112" s="78"/>
      <c r="K112" s="78"/>
      <c r="L112" s="78"/>
      <c r="M112" s="78"/>
      <c r="N112" s="78"/>
      <c r="O112" s="78"/>
      <c r="P112" s="78"/>
      <c r="Q112" s="78"/>
      <c r="R112" s="78"/>
      <c r="S112" s="78"/>
      <c r="T112" s="78"/>
      <c r="U112" s="78"/>
      <c r="V112" s="78"/>
      <c r="W112" s="78"/>
      <c r="X112" s="78"/>
      <c r="Y112" s="78"/>
      <c r="Z112" s="78"/>
    </row>
    <row r="113" spans="1:26" ht="14.4">
      <c r="A113" s="82"/>
      <c r="B113" s="83" t="s">
        <v>322</v>
      </c>
      <c r="C113" s="83" t="s">
        <v>123</v>
      </c>
      <c r="D113" s="80" t="s">
        <v>323</v>
      </c>
      <c r="E113" s="80" t="s">
        <v>101</v>
      </c>
      <c r="F113" s="81"/>
      <c r="G113" s="78"/>
      <c r="H113" s="78"/>
      <c r="I113" s="78"/>
      <c r="J113" s="78"/>
      <c r="K113" s="78"/>
      <c r="L113" s="78"/>
      <c r="M113" s="78"/>
      <c r="N113" s="78"/>
      <c r="O113" s="78"/>
      <c r="P113" s="78"/>
      <c r="Q113" s="78"/>
      <c r="R113" s="78"/>
      <c r="S113" s="78"/>
      <c r="T113" s="78"/>
      <c r="U113" s="78"/>
      <c r="V113" s="78"/>
      <c r="W113" s="78"/>
      <c r="X113" s="78"/>
      <c r="Y113" s="78"/>
      <c r="Z113" s="78"/>
    </row>
    <row r="114" spans="1:26" ht="14.4">
      <c r="A114" s="82"/>
      <c r="B114" s="82"/>
      <c r="C114" s="83" t="s">
        <v>291</v>
      </c>
      <c r="D114" s="80" t="s">
        <v>324</v>
      </c>
      <c r="E114" s="80" t="s">
        <v>101</v>
      </c>
      <c r="F114" s="81"/>
      <c r="G114" s="78"/>
      <c r="H114" s="78"/>
      <c r="I114" s="78"/>
      <c r="J114" s="78"/>
      <c r="K114" s="78"/>
      <c r="L114" s="78"/>
      <c r="M114" s="78"/>
      <c r="N114" s="78"/>
      <c r="O114" s="78"/>
      <c r="P114" s="78"/>
      <c r="Q114" s="78"/>
      <c r="R114" s="78"/>
      <c r="S114" s="78"/>
      <c r="T114" s="78"/>
      <c r="U114" s="78"/>
      <c r="V114" s="78"/>
      <c r="W114" s="78"/>
      <c r="X114" s="78"/>
      <c r="Y114" s="78"/>
      <c r="Z114" s="78"/>
    </row>
    <row r="115" spans="1:26" ht="14.4">
      <c r="A115" s="82"/>
      <c r="B115" s="82"/>
      <c r="C115" s="83" t="s">
        <v>300</v>
      </c>
      <c r="D115" s="80" t="s">
        <v>301</v>
      </c>
      <c r="E115" s="80" t="s">
        <v>101</v>
      </c>
      <c r="F115" s="81"/>
      <c r="G115" s="78"/>
      <c r="H115" s="78"/>
      <c r="I115" s="78"/>
      <c r="J115" s="78"/>
      <c r="K115" s="78"/>
      <c r="L115" s="78"/>
      <c r="M115" s="78"/>
      <c r="N115" s="78"/>
      <c r="O115" s="78"/>
      <c r="P115" s="78"/>
      <c r="Q115" s="78"/>
      <c r="R115" s="78"/>
      <c r="S115" s="78"/>
      <c r="T115" s="78"/>
      <c r="U115" s="78"/>
      <c r="V115" s="78"/>
      <c r="W115" s="78"/>
      <c r="X115" s="78"/>
      <c r="Y115" s="78"/>
      <c r="Z115" s="78"/>
    </row>
    <row r="116" spans="1:26" ht="28.2">
      <c r="A116" s="82"/>
      <c r="B116" s="83" t="s">
        <v>325</v>
      </c>
      <c r="C116" s="83" t="s">
        <v>326</v>
      </c>
      <c r="D116" s="80" t="s">
        <v>327</v>
      </c>
      <c r="E116" s="80" t="s">
        <v>101</v>
      </c>
      <c r="F116" s="80"/>
      <c r="G116" s="78"/>
      <c r="H116" s="78"/>
      <c r="I116" s="78"/>
      <c r="J116" s="78"/>
      <c r="K116" s="78"/>
      <c r="L116" s="78"/>
      <c r="M116" s="78"/>
      <c r="N116" s="78"/>
      <c r="O116" s="78"/>
      <c r="P116" s="78"/>
      <c r="Q116" s="78"/>
      <c r="R116" s="78"/>
      <c r="S116" s="78"/>
      <c r="T116" s="78"/>
      <c r="U116" s="78"/>
      <c r="V116" s="78"/>
      <c r="W116" s="78"/>
      <c r="X116" s="78"/>
      <c r="Y116" s="78"/>
      <c r="Z116" s="78"/>
    </row>
    <row r="117" spans="1:26" ht="14.4">
      <c r="A117" s="82"/>
      <c r="B117" s="82"/>
      <c r="C117" s="83" t="s">
        <v>326</v>
      </c>
      <c r="D117" s="80" t="s">
        <v>328</v>
      </c>
      <c r="E117" s="80" t="s">
        <v>101</v>
      </c>
      <c r="F117" s="81"/>
      <c r="G117" s="78"/>
      <c r="H117" s="78"/>
      <c r="I117" s="78"/>
      <c r="J117" s="78"/>
      <c r="K117" s="78"/>
      <c r="L117" s="78"/>
      <c r="M117" s="78"/>
      <c r="N117" s="78"/>
      <c r="O117" s="78"/>
      <c r="P117" s="78"/>
      <c r="Q117" s="78"/>
      <c r="R117" s="78"/>
      <c r="S117" s="78"/>
      <c r="T117" s="78"/>
      <c r="U117" s="78"/>
      <c r="V117" s="78"/>
      <c r="W117" s="78"/>
      <c r="X117" s="78"/>
      <c r="Y117" s="78"/>
      <c r="Z117" s="78"/>
    </row>
    <row r="118" spans="1:26" ht="14.4">
      <c r="A118" s="82"/>
      <c r="B118" s="83" t="s">
        <v>329</v>
      </c>
      <c r="C118" s="83" t="s">
        <v>312</v>
      </c>
      <c r="D118" s="80" t="s">
        <v>330</v>
      </c>
      <c r="E118" s="80" t="s">
        <v>101</v>
      </c>
      <c r="F118" s="81"/>
      <c r="G118" s="78"/>
      <c r="H118" s="78"/>
      <c r="I118" s="78"/>
      <c r="J118" s="78"/>
      <c r="K118" s="78"/>
      <c r="L118" s="78"/>
      <c r="M118" s="78"/>
      <c r="N118" s="78"/>
      <c r="O118" s="78"/>
      <c r="P118" s="78"/>
      <c r="Q118" s="78"/>
      <c r="R118" s="78"/>
      <c r="S118" s="78"/>
      <c r="T118" s="78"/>
      <c r="U118" s="78"/>
      <c r="V118" s="78"/>
      <c r="W118" s="78"/>
      <c r="X118" s="78"/>
      <c r="Y118" s="78"/>
      <c r="Z118" s="78"/>
    </row>
    <row r="119" spans="1:26" ht="14.4">
      <c r="A119" s="83" t="s">
        <v>331</v>
      </c>
      <c r="B119" s="83" t="s">
        <v>332</v>
      </c>
      <c r="C119" s="83" t="s">
        <v>268</v>
      </c>
      <c r="D119" s="80" t="s">
        <v>333</v>
      </c>
      <c r="E119" s="80" t="s">
        <v>125</v>
      </c>
      <c r="F119" s="80"/>
      <c r="G119" s="78"/>
      <c r="H119" s="78"/>
      <c r="I119" s="78"/>
      <c r="J119" s="78"/>
      <c r="K119" s="78"/>
      <c r="L119" s="78"/>
      <c r="M119" s="78"/>
      <c r="N119" s="78"/>
      <c r="O119" s="78"/>
      <c r="P119" s="78"/>
      <c r="Q119" s="78"/>
      <c r="R119" s="78"/>
      <c r="S119" s="78"/>
      <c r="T119" s="78"/>
      <c r="U119" s="78"/>
      <c r="V119" s="78"/>
      <c r="W119" s="78"/>
      <c r="X119" s="78"/>
      <c r="Y119" s="78"/>
      <c r="Z119" s="78"/>
    </row>
    <row r="120" spans="1:26" ht="14.4">
      <c r="A120" s="82"/>
      <c r="B120" s="82"/>
      <c r="C120" s="83" t="s">
        <v>318</v>
      </c>
      <c r="D120" s="80" t="s">
        <v>319</v>
      </c>
      <c r="E120" s="80" t="s">
        <v>101</v>
      </c>
      <c r="F120" s="81"/>
      <c r="G120" s="78"/>
      <c r="H120" s="78"/>
      <c r="I120" s="78"/>
      <c r="J120" s="78"/>
      <c r="K120" s="78"/>
      <c r="L120" s="78"/>
      <c r="M120" s="78"/>
      <c r="N120" s="78"/>
      <c r="O120" s="78"/>
      <c r="P120" s="78"/>
      <c r="Q120" s="78"/>
      <c r="R120" s="78"/>
      <c r="S120" s="78"/>
      <c r="T120" s="78"/>
      <c r="U120" s="78"/>
      <c r="V120" s="78"/>
      <c r="W120" s="78"/>
      <c r="X120" s="78"/>
      <c r="Y120" s="78"/>
      <c r="Z120" s="78"/>
    </row>
    <row r="121" spans="1:26" ht="14.4">
      <c r="A121" s="82"/>
      <c r="B121" s="82"/>
      <c r="C121" s="83" t="s">
        <v>334</v>
      </c>
      <c r="D121" s="80" t="s">
        <v>335</v>
      </c>
      <c r="E121" s="80" t="s">
        <v>101</v>
      </c>
      <c r="F121" s="81"/>
      <c r="G121" s="78"/>
      <c r="H121" s="78"/>
      <c r="I121" s="78"/>
      <c r="J121" s="78"/>
      <c r="K121" s="78"/>
      <c r="L121" s="78"/>
      <c r="M121" s="78"/>
      <c r="N121" s="78"/>
      <c r="O121" s="78"/>
      <c r="P121" s="78"/>
      <c r="Q121" s="78"/>
      <c r="R121" s="78"/>
      <c r="S121" s="78"/>
      <c r="T121" s="78"/>
      <c r="U121" s="78"/>
      <c r="V121" s="78"/>
      <c r="W121" s="78"/>
      <c r="X121" s="78"/>
      <c r="Y121" s="78"/>
      <c r="Z121" s="78"/>
    </row>
    <row r="122" spans="1:26" ht="14.4">
      <c r="A122" s="82"/>
      <c r="B122" s="82"/>
      <c r="C122" s="83" t="s">
        <v>99</v>
      </c>
      <c r="D122" s="80" t="s">
        <v>336</v>
      </c>
      <c r="E122" s="80" t="s">
        <v>101</v>
      </c>
      <c r="F122" s="81"/>
      <c r="G122" s="78"/>
      <c r="H122" s="78"/>
      <c r="I122" s="78"/>
      <c r="J122" s="78"/>
      <c r="K122" s="78"/>
      <c r="L122" s="78"/>
      <c r="M122" s="78"/>
      <c r="N122" s="78"/>
      <c r="O122" s="78"/>
      <c r="P122" s="78"/>
      <c r="Q122" s="78"/>
      <c r="R122" s="78"/>
      <c r="S122" s="78"/>
      <c r="T122" s="78"/>
      <c r="U122" s="78"/>
      <c r="V122" s="78"/>
      <c r="W122" s="78"/>
      <c r="X122" s="78"/>
      <c r="Y122" s="78"/>
      <c r="Z122" s="78"/>
    </row>
    <row r="123" spans="1:26" ht="14.4">
      <c r="A123" s="82"/>
      <c r="B123" s="82"/>
      <c r="C123" s="83" t="s">
        <v>120</v>
      </c>
      <c r="D123" s="80" t="s">
        <v>337</v>
      </c>
      <c r="E123" s="80" t="s">
        <v>101</v>
      </c>
      <c r="F123" s="81"/>
      <c r="G123" s="78"/>
      <c r="H123" s="78"/>
      <c r="I123" s="78"/>
      <c r="J123" s="78"/>
      <c r="K123" s="78"/>
      <c r="L123" s="78"/>
      <c r="M123" s="78"/>
      <c r="N123" s="78"/>
      <c r="O123" s="78"/>
      <c r="P123" s="78"/>
      <c r="Q123" s="78"/>
      <c r="R123" s="78"/>
      <c r="S123" s="78"/>
      <c r="T123" s="78"/>
      <c r="U123" s="78"/>
      <c r="V123" s="78"/>
      <c r="W123" s="78"/>
      <c r="X123" s="78"/>
      <c r="Y123" s="78"/>
      <c r="Z123" s="78"/>
    </row>
    <row r="124" spans="1:26" ht="14.4">
      <c r="A124" s="82"/>
      <c r="B124" s="83" t="s">
        <v>338</v>
      </c>
      <c r="C124" s="83" t="s">
        <v>123</v>
      </c>
      <c r="D124" s="80" t="s">
        <v>339</v>
      </c>
      <c r="E124" s="80" t="s">
        <v>101</v>
      </c>
      <c r="F124" s="81"/>
      <c r="G124" s="78"/>
      <c r="H124" s="78"/>
      <c r="I124" s="78"/>
      <c r="J124" s="78"/>
      <c r="K124" s="78"/>
      <c r="L124" s="78"/>
      <c r="M124" s="78"/>
      <c r="N124" s="78"/>
      <c r="O124" s="78"/>
      <c r="P124" s="78"/>
      <c r="Q124" s="78"/>
      <c r="R124" s="78"/>
      <c r="S124" s="78"/>
      <c r="T124" s="78"/>
      <c r="U124" s="78"/>
      <c r="V124" s="78"/>
      <c r="W124" s="78"/>
      <c r="X124" s="78"/>
      <c r="Y124" s="78"/>
      <c r="Z124" s="78"/>
    </row>
    <row r="125" spans="1:26" ht="14.4">
      <c r="A125" s="82"/>
      <c r="B125" s="82"/>
      <c r="C125" s="83" t="s">
        <v>291</v>
      </c>
      <c r="D125" s="80" t="s">
        <v>340</v>
      </c>
      <c r="E125" s="80" t="s">
        <v>101</v>
      </c>
      <c r="F125" s="81"/>
      <c r="G125" s="78"/>
      <c r="H125" s="78"/>
      <c r="I125" s="78"/>
      <c r="J125" s="78"/>
      <c r="K125" s="78"/>
      <c r="L125" s="78"/>
      <c r="M125" s="78"/>
      <c r="N125" s="78"/>
      <c r="O125" s="78"/>
      <c r="P125" s="78"/>
      <c r="Q125" s="78"/>
      <c r="R125" s="78"/>
      <c r="S125" s="78"/>
      <c r="T125" s="78"/>
      <c r="U125" s="78"/>
      <c r="V125" s="78"/>
      <c r="W125" s="78"/>
      <c r="X125" s="78"/>
      <c r="Y125" s="78"/>
      <c r="Z125" s="78"/>
    </row>
    <row r="126" spans="1:26" ht="14.4">
      <c r="A126" s="82"/>
      <c r="B126" s="82"/>
      <c r="C126" s="83" t="s">
        <v>296</v>
      </c>
      <c r="D126" s="80" t="s">
        <v>341</v>
      </c>
      <c r="E126" s="80" t="s">
        <v>101</v>
      </c>
      <c r="F126" s="81"/>
      <c r="G126" s="78"/>
      <c r="H126" s="78"/>
      <c r="I126" s="78"/>
      <c r="J126" s="78"/>
      <c r="K126" s="78"/>
      <c r="L126" s="78"/>
      <c r="M126" s="78"/>
      <c r="N126" s="78"/>
      <c r="O126" s="78"/>
      <c r="P126" s="78"/>
      <c r="Q126" s="78"/>
      <c r="R126" s="78"/>
      <c r="S126" s="78"/>
      <c r="T126" s="78"/>
      <c r="U126" s="78"/>
      <c r="V126" s="78"/>
      <c r="W126" s="78"/>
      <c r="X126" s="78"/>
      <c r="Y126" s="78"/>
      <c r="Z126" s="78"/>
    </row>
    <row r="127" spans="1:26" ht="28.2">
      <c r="A127" s="82"/>
      <c r="B127" s="83" t="s">
        <v>342</v>
      </c>
      <c r="C127" s="83" t="s">
        <v>343</v>
      </c>
      <c r="D127" s="80" t="s">
        <v>344</v>
      </c>
      <c r="E127" s="80" t="s">
        <v>101</v>
      </c>
      <c r="F127" s="80"/>
      <c r="G127" s="78"/>
      <c r="H127" s="78"/>
      <c r="I127" s="78"/>
      <c r="J127" s="78"/>
      <c r="K127" s="78"/>
      <c r="L127" s="78"/>
      <c r="M127" s="78"/>
      <c r="N127" s="78"/>
      <c r="O127" s="78"/>
      <c r="P127" s="78"/>
      <c r="Q127" s="78"/>
      <c r="R127" s="78"/>
      <c r="S127" s="78"/>
      <c r="T127" s="78"/>
      <c r="U127" s="78"/>
      <c r="V127" s="78"/>
      <c r="W127" s="78"/>
      <c r="X127" s="78"/>
      <c r="Y127" s="78"/>
      <c r="Z127" s="78"/>
    </row>
    <row r="128" spans="1:26" ht="14.4">
      <c r="A128" s="82"/>
      <c r="B128" s="83" t="s">
        <v>345</v>
      </c>
      <c r="C128" s="83" t="s">
        <v>312</v>
      </c>
      <c r="D128" s="80" t="s">
        <v>346</v>
      </c>
      <c r="E128" s="80" t="s">
        <v>101</v>
      </c>
      <c r="F128" s="81"/>
      <c r="G128" s="78"/>
      <c r="H128" s="78"/>
      <c r="I128" s="78"/>
      <c r="J128" s="78"/>
      <c r="K128" s="78"/>
      <c r="L128" s="78"/>
      <c r="M128" s="78"/>
      <c r="N128" s="78"/>
      <c r="O128" s="78"/>
      <c r="P128" s="78"/>
      <c r="Q128" s="78"/>
      <c r="R128" s="78"/>
      <c r="S128" s="78"/>
      <c r="T128" s="78"/>
      <c r="U128" s="78"/>
      <c r="V128" s="78"/>
      <c r="W128" s="78"/>
      <c r="X128" s="78"/>
      <c r="Y128" s="78"/>
      <c r="Z128" s="78"/>
    </row>
    <row r="129" spans="1:26" ht="28.2">
      <c r="A129" s="88" t="s">
        <v>347</v>
      </c>
      <c r="B129" s="89" t="s">
        <v>348</v>
      </c>
      <c r="C129" s="89" t="s">
        <v>349</v>
      </c>
      <c r="D129" s="90" t="s">
        <v>350</v>
      </c>
      <c r="E129" s="89" t="s">
        <v>125</v>
      </c>
      <c r="F129" s="81"/>
      <c r="G129" s="78"/>
      <c r="H129" s="78"/>
      <c r="I129" s="78"/>
      <c r="J129" s="78"/>
      <c r="K129" s="78"/>
      <c r="L129" s="78"/>
      <c r="M129" s="78"/>
      <c r="N129" s="78"/>
      <c r="O129" s="78"/>
      <c r="P129" s="78"/>
      <c r="Q129" s="78"/>
      <c r="R129" s="78"/>
      <c r="S129" s="78"/>
      <c r="T129" s="78"/>
      <c r="U129" s="78"/>
      <c r="V129" s="78"/>
      <c r="W129" s="78"/>
      <c r="X129" s="78"/>
      <c r="Y129" s="78"/>
      <c r="Z129" s="78"/>
    </row>
    <row r="130" spans="1:26" ht="14.4">
      <c r="A130" s="91"/>
      <c r="B130" s="91"/>
      <c r="C130" s="89" t="s">
        <v>351</v>
      </c>
      <c r="D130" s="90" t="s">
        <v>352</v>
      </c>
      <c r="E130" s="89" t="s">
        <v>101</v>
      </c>
      <c r="F130" s="81"/>
      <c r="G130" s="78"/>
      <c r="H130" s="78"/>
      <c r="I130" s="78"/>
      <c r="J130" s="78"/>
      <c r="K130" s="78"/>
      <c r="L130" s="78"/>
      <c r="M130" s="78"/>
      <c r="N130" s="78"/>
      <c r="O130" s="78"/>
      <c r="P130" s="78"/>
      <c r="Q130" s="78"/>
      <c r="R130" s="78"/>
      <c r="S130" s="78"/>
      <c r="T130" s="78"/>
      <c r="U130" s="78"/>
      <c r="V130" s="78"/>
      <c r="W130" s="78"/>
      <c r="X130" s="78"/>
      <c r="Y130" s="78"/>
      <c r="Z130" s="78"/>
    </row>
    <row r="131" spans="1:26" ht="14.4">
      <c r="A131" s="91"/>
      <c r="B131" s="91"/>
      <c r="C131" s="89" t="s">
        <v>353</v>
      </c>
      <c r="D131" s="90" t="s">
        <v>354</v>
      </c>
      <c r="E131" s="89" t="s">
        <v>101</v>
      </c>
      <c r="F131" s="81"/>
      <c r="G131" s="78"/>
      <c r="H131" s="78"/>
      <c r="I131" s="78"/>
      <c r="J131" s="78"/>
      <c r="K131" s="78"/>
      <c r="L131" s="78"/>
      <c r="M131" s="78"/>
      <c r="N131" s="78"/>
      <c r="O131" s="78"/>
      <c r="P131" s="78"/>
      <c r="Q131" s="78"/>
      <c r="R131" s="78"/>
      <c r="S131" s="78"/>
      <c r="T131" s="78"/>
      <c r="U131" s="78"/>
      <c r="V131" s="78"/>
      <c r="W131" s="78"/>
      <c r="X131" s="78"/>
      <c r="Y131" s="78"/>
      <c r="Z131" s="78"/>
    </row>
    <row r="132" spans="1:26" ht="14.4">
      <c r="A132" s="91"/>
      <c r="B132" s="91"/>
      <c r="C132" s="89" t="s">
        <v>355</v>
      </c>
      <c r="D132" s="90" t="s">
        <v>356</v>
      </c>
      <c r="E132" s="89" t="s">
        <v>101</v>
      </c>
      <c r="F132" s="81"/>
      <c r="G132" s="78"/>
      <c r="H132" s="78"/>
      <c r="I132" s="78"/>
      <c r="J132" s="78"/>
      <c r="K132" s="78"/>
      <c r="L132" s="78"/>
      <c r="M132" s="78"/>
      <c r="N132" s="78"/>
      <c r="O132" s="78"/>
      <c r="P132" s="78"/>
      <c r="Q132" s="78"/>
      <c r="R132" s="78"/>
      <c r="S132" s="78"/>
      <c r="T132" s="78"/>
      <c r="U132" s="78"/>
      <c r="V132" s="78"/>
      <c r="W132" s="78"/>
      <c r="X132" s="78"/>
      <c r="Y132" s="78"/>
      <c r="Z132" s="78"/>
    </row>
    <row r="133" spans="1:26" ht="14.4">
      <c r="A133" s="91"/>
      <c r="B133" s="91"/>
      <c r="C133" s="89" t="s">
        <v>355</v>
      </c>
      <c r="D133" s="90" t="s">
        <v>357</v>
      </c>
      <c r="E133" s="89" t="s">
        <v>101</v>
      </c>
      <c r="F133" s="81"/>
      <c r="G133" s="78"/>
      <c r="H133" s="78"/>
      <c r="I133" s="78"/>
      <c r="J133" s="78"/>
      <c r="K133" s="78"/>
      <c r="L133" s="78"/>
      <c r="M133" s="78"/>
      <c r="N133" s="78"/>
      <c r="O133" s="78"/>
      <c r="P133" s="78"/>
      <c r="Q133" s="78"/>
      <c r="R133" s="78"/>
      <c r="S133" s="78"/>
      <c r="T133" s="78"/>
      <c r="U133" s="78"/>
      <c r="V133" s="78"/>
      <c r="W133" s="78"/>
      <c r="X133" s="78"/>
      <c r="Y133" s="78"/>
      <c r="Z133" s="78"/>
    </row>
    <row r="134" spans="1:26" ht="14.4">
      <c r="A134" s="91"/>
      <c r="B134" s="91"/>
      <c r="C134" s="89" t="s">
        <v>355</v>
      </c>
      <c r="D134" s="90" t="s">
        <v>358</v>
      </c>
      <c r="E134" s="89" t="s">
        <v>101</v>
      </c>
      <c r="F134" s="81"/>
      <c r="G134" s="78"/>
      <c r="H134" s="78"/>
      <c r="I134" s="78"/>
      <c r="J134" s="78"/>
      <c r="K134" s="78"/>
      <c r="L134" s="78"/>
      <c r="M134" s="78"/>
      <c r="N134" s="78"/>
      <c r="O134" s="78"/>
      <c r="P134" s="78"/>
      <c r="Q134" s="78"/>
      <c r="R134" s="78"/>
      <c r="S134" s="78"/>
      <c r="T134" s="78"/>
      <c r="U134" s="78"/>
      <c r="V134" s="78"/>
      <c r="W134" s="78"/>
      <c r="X134" s="78"/>
      <c r="Y134" s="78"/>
      <c r="Z134" s="78"/>
    </row>
    <row r="135" spans="1:26" ht="14.4">
      <c r="A135" s="91"/>
      <c r="B135" s="91"/>
      <c r="C135" s="89" t="s">
        <v>355</v>
      </c>
      <c r="D135" s="90" t="s">
        <v>359</v>
      </c>
      <c r="E135" s="89" t="s">
        <v>101</v>
      </c>
      <c r="F135" s="81"/>
      <c r="G135" s="78"/>
      <c r="H135" s="78"/>
      <c r="I135" s="78"/>
      <c r="J135" s="78"/>
      <c r="K135" s="78"/>
      <c r="L135" s="78"/>
      <c r="M135" s="78"/>
      <c r="N135" s="78"/>
      <c r="O135" s="78"/>
      <c r="P135" s="78"/>
      <c r="Q135" s="78"/>
      <c r="R135" s="78"/>
      <c r="S135" s="78"/>
      <c r="T135" s="78"/>
      <c r="U135" s="78"/>
      <c r="V135" s="78"/>
      <c r="W135" s="78"/>
      <c r="X135" s="78"/>
      <c r="Y135" s="78"/>
      <c r="Z135" s="78"/>
    </row>
    <row r="136" spans="1:26" ht="14.4">
      <c r="A136" s="91"/>
      <c r="B136" s="91"/>
      <c r="C136" s="89" t="s">
        <v>120</v>
      </c>
      <c r="D136" s="90" t="s">
        <v>360</v>
      </c>
      <c r="E136" s="89" t="s">
        <v>101</v>
      </c>
      <c r="F136" s="81"/>
      <c r="G136" s="78"/>
      <c r="H136" s="78"/>
      <c r="I136" s="78"/>
      <c r="J136" s="78"/>
      <c r="K136" s="78"/>
      <c r="L136" s="78"/>
      <c r="M136" s="78"/>
      <c r="N136" s="78"/>
      <c r="O136" s="78"/>
      <c r="P136" s="78"/>
      <c r="Q136" s="78"/>
      <c r="R136" s="78"/>
      <c r="S136" s="78"/>
      <c r="T136" s="78"/>
      <c r="U136" s="78"/>
      <c r="V136" s="78"/>
      <c r="W136" s="78"/>
      <c r="X136" s="78"/>
      <c r="Y136" s="78"/>
      <c r="Z136" s="78"/>
    </row>
    <row r="137" spans="1:26" ht="14.4">
      <c r="A137" s="91"/>
      <c r="B137" s="89" t="s">
        <v>361</v>
      </c>
      <c r="C137" s="89" t="s">
        <v>362</v>
      </c>
      <c r="D137" s="90" t="s">
        <v>363</v>
      </c>
      <c r="E137" s="89" t="s">
        <v>101</v>
      </c>
      <c r="F137" s="81"/>
      <c r="G137" s="78"/>
      <c r="H137" s="78"/>
      <c r="I137" s="78"/>
      <c r="J137" s="78"/>
      <c r="K137" s="78"/>
      <c r="L137" s="78"/>
      <c r="M137" s="78"/>
      <c r="N137" s="78"/>
      <c r="O137" s="78"/>
      <c r="P137" s="78"/>
      <c r="Q137" s="78"/>
      <c r="R137" s="78"/>
      <c r="S137" s="78"/>
      <c r="T137" s="78"/>
      <c r="U137" s="78"/>
      <c r="V137" s="78"/>
      <c r="W137" s="78"/>
      <c r="X137" s="78"/>
      <c r="Y137" s="78"/>
      <c r="Z137" s="78"/>
    </row>
    <row r="138" spans="1:26" ht="14.4">
      <c r="A138" s="91"/>
      <c r="B138" s="91"/>
      <c r="C138" s="89" t="s">
        <v>364</v>
      </c>
      <c r="D138" s="90" t="s">
        <v>365</v>
      </c>
      <c r="E138" s="89" t="s">
        <v>101</v>
      </c>
      <c r="F138" s="81"/>
      <c r="G138" s="78"/>
      <c r="H138" s="78"/>
      <c r="I138" s="78"/>
      <c r="J138" s="78"/>
      <c r="K138" s="78"/>
      <c r="L138" s="78"/>
      <c r="M138" s="78"/>
      <c r="N138" s="78"/>
      <c r="O138" s="78"/>
      <c r="P138" s="78"/>
      <c r="Q138" s="78"/>
      <c r="R138" s="78"/>
      <c r="S138" s="78"/>
      <c r="T138" s="78"/>
      <c r="U138" s="78"/>
      <c r="V138" s="78"/>
      <c r="W138" s="78"/>
      <c r="X138" s="78"/>
      <c r="Y138" s="78"/>
      <c r="Z138" s="78"/>
    </row>
    <row r="139" spans="1:26" ht="14.4">
      <c r="A139" s="91"/>
      <c r="B139" s="91"/>
      <c r="C139" s="89" t="s">
        <v>366</v>
      </c>
      <c r="D139" s="90" t="s">
        <v>367</v>
      </c>
      <c r="E139" s="89" t="s">
        <v>101</v>
      </c>
      <c r="F139" s="81"/>
      <c r="G139" s="78"/>
      <c r="H139" s="78"/>
      <c r="I139" s="78"/>
      <c r="J139" s="78"/>
      <c r="K139" s="78"/>
      <c r="L139" s="78"/>
      <c r="M139" s="78"/>
      <c r="N139" s="78"/>
      <c r="O139" s="78"/>
      <c r="P139" s="78"/>
      <c r="Q139" s="78"/>
      <c r="R139" s="78"/>
      <c r="S139" s="78"/>
      <c r="T139" s="78"/>
      <c r="U139" s="78"/>
      <c r="V139" s="78"/>
      <c r="W139" s="78"/>
      <c r="X139" s="78"/>
      <c r="Y139" s="78"/>
      <c r="Z139" s="78"/>
    </row>
    <row r="140" spans="1:26" ht="14.4">
      <c r="A140" s="91"/>
      <c r="B140" s="91"/>
      <c r="C140" s="89" t="s">
        <v>366</v>
      </c>
      <c r="D140" s="90" t="s">
        <v>368</v>
      </c>
      <c r="E140" s="89" t="s">
        <v>101</v>
      </c>
      <c r="F140" s="81"/>
      <c r="G140" s="78"/>
      <c r="H140" s="78"/>
      <c r="I140" s="78"/>
      <c r="J140" s="78"/>
      <c r="K140" s="78"/>
      <c r="L140" s="78"/>
      <c r="M140" s="78"/>
      <c r="N140" s="78"/>
      <c r="O140" s="78"/>
      <c r="P140" s="78"/>
      <c r="Q140" s="78"/>
      <c r="R140" s="78"/>
      <c r="S140" s="78"/>
      <c r="T140" s="78"/>
      <c r="U140" s="78"/>
      <c r="V140" s="78"/>
      <c r="W140" s="78"/>
      <c r="X140" s="78"/>
      <c r="Y140" s="78"/>
      <c r="Z140" s="78"/>
    </row>
    <row r="141" spans="1:26" ht="14.4">
      <c r="A141" s="91"/>
      <c r="B141" s="91"/>
      <c r="C141" s="89" t="s">
        <v>369</v>
      </c>
      <c r="D141" s="90" t="s">
        <v>370</v>
      </c>
      <c r="E141" s="89" t="s">
        <v>101</v>
      </c>
      <c r="F141" s="81"/>
      <c r="G141" s="78"/>
      <c r="H141" s="78"/>
      <c r="I141" s="78"/>
      <c r="J141" s="78"/>
      <c r="K141" s="78"/>
      <c r="L141" s="78"/>
      <c r="M141" s="78"/>
      <c r="N141" s="78"/>
      <c r="O141" s="78"/>
      <c r="P141" s="78"/>
      <c r="Q141" s="78"/>
      <c r="R141" s="78"/>
      <c r="S141" s="78"/>
      <c r="T141" s="78"/>
      <c r="U141" s="78"/>
      <c r="V141" s="78"/>
      <c r="W141" s="78"/>
      <c r="X141" s="78"/>
      <c r="Y141" s="78"/>
      <c r="Z141" s="78"/>
    </row>
    <row r="142" spans="1:26" ht="14.4">
      <c r="A142" s="91"/>
      <c r="B142" s="91"/>
      <c r="C142" s="89" t="s">
        <v>369</v>
      </c>
      <c r="D142" s="90" t="s">
        <v>371</v>
      </c>
      <c r="E142" s="89" t="s">
        <v>101</v>
      </c>
      <c r="F142" s="81"/>
      <c r="G142" s="78"/>
      <c r="H142" s="78"/>
      <c r="I142" s="78"/>
      <c r="J142" s="78"/>
      <c r="K142" s="78"/>
      <c r="L142" s="78"/>
      <c r="M142" s="78"/>
      <c r="N142" s="78"/>
      <c r="O142" s="78"/>
      <c r="P142" s="78"/>
      <c r="Q142" s="78"/>
      <c r="R142" s="78"/>
      <c r="S142" s="78"/>
      <c r="T142" s="78"/>
      <c r="U142" s="78"/>
      <c r="V142" s="78"/>
      <c r="W142" s="78"/>
      <c r="X142" s="78"/>
      <c r="Y142" s="78"/>
      <c r="Z142" s="78"/>
    </row>
    <row r="143" spans="1:26" ht="14.4">
      <c r="A143" s="91"/>
      <c r="B143" s="91"/>
      <c r="C143" s="89" t="s">
        <v>369</v>
      </c>
      <c r="D143" s="90" t="s">
        <v>372</v>
      </c>
      <c r="E143" s="89" t="s">
        <v>101</v>
      </c>
      <c r="F143" s="81"/>
      <c r="G143" s="78"/>
      <c r="H143" s="78"/>
      <c r="I143" s="78"/>
      <c r="J143" s="78"/>
      <c r="K143" s="78"/>
      <c r="L143" s="78"/>
      <c r="M143" s="78"/>
      <c r="N143" s="78"/>
      <c r="O143" s="78"/>
      <c r="P143" s="78"/>
      <c r="Q143" s="78"/>
      <c r="R143" s="78"/>
      <c r="S143" s="78"/>
      <c r="T143" s="78"/>
      <c r="U143" s="78"/>
      <c r="V143" s="78"/>
      <c r="W143" s="78"/>
      <c r="X143" s="78"/>
      <c r="Y143" s="78"/>
      <c r="Z143" s="78"/>
    </row>
    <row r="144" spans="1:26" ht="14.4">
      <c r="A144" s="91"/>
      <c r="B144" s="91"/>
      <c r="C144" s="89" t="s">
        <v>364</v>
      </c>
      <c r="D144" s="90" t="s">
        <v>373</v>
      </c>
      <c r="E144" s="89" t="s">
        <v>101</v>
      </c>
      <c r="F144" s="81"/>
      <c r="G144" s="78"/>
      <c r="H144" s="78"/>
      <c r="I144" s="78"/>
      <c r="J144" s="78"/>
      <c r="K144" s="78"/>
      <c r="L144" s="78"/>
      <c r="M144" s="78"/>
      <c r="N144" s="78"/>
      <c r="O144" s="78"/>
      <c r="P144" s="78"/>
      <c r="Q144" s="78"/>
      <c r="R144" s="78"/>
      <c r="S144" s="78"/>
      <c r="T144" s="78"/>
      <c r="U144" s="78"/>
      <c r="V144" s="78"/>
      <c r="W144" s="78"/>
      <c r="X144" s="78"/>
      <c r="Y144" s="78"/>
      <c r="Z144" s="78"/>
    </row>
    <row r="145" spans="1:26" ht="14.4">
      <c r="A145" s="91"/>
      <c r="B145" s="89" t="s">
        <v>374</v>
      </c>
      <c r="C145" s="89" t="s">
        <v>375</v>
      </c>
      <c r="D145" s="90" t="s">
        <v>376</v>
      </c>
      <c r="E145" s="89" t="s">
        <v>101</v>
      </c>
      <c r="F145" s="81"/>
      <c r="G145" s="78"/>
      <c r="H145" s="78"/>
      <c r="I145" s="78"/>
      <c r="J145" s="78"/>
      <c r="K145" s="78"/>
      <c r="L145" s="78"/>
      <c r="M145" s="78"/>
      <c r="N145" s="78"/>
      <c r="O145" s="78"/>
      <c r="P145" s="78"/>
      <c r="Q145" s="78"/>
      <c r="R145" s="78"/>
      <c r="S145" s="78"/>
      <c r="T145" s="78"/>
      <c r="U145" s="78"/>
      <c r="V145" s="78"/>
      <c r="W145" s="78"/>
      <c r="X145" s="78"/>
      <c r="Y145" s="78"/>
      <c r="Z145" s="78"/>
    </row>
    <row r="146" spans="1:26" ht="14.4">
      <c r="A146" s="91"/>
      <c r="B146" s="91"/>
      <c r="C146" s="89" t="s">
        <v>375</v>
      </c>
      <c r="D146" s="90" t="s">
        <v>377</v>
      </c>
      <c r="E146" s="89" t="s">
        <v>101</v>
      </c>
      <c r="F146" s="81"/>
      <c r="G146" s="78"/>
      <c r="H146" s="78"/>
      <c r="I146" s="78"/>
      <c r="J146" s="78"/>
      <c r="K146" s="78"/>
      <c r="L146" s="78"/>
      <c r="M146" s="78"/>
      <c r="N146" s="78"/>
      <c r="O146" s="78"/>
      <c r="P146" s="78"/>
      <c r="Q146" s="78"/>
      <c r="R146" s="78"/>
      <c r="S146" s="78"/>
      <c r="T146" s="78"/>
      <c r="U146" s="78"/>
      <c r="V146" s="78"/>
      <c r="W146" s="78"/>
      <c r="X146" s="78"/>
      <c r="Y146" s="78"/>
      <c r="Z146" s="78"/>
    </row>
    <row r="147" spans="1:26" ht="14.4">
      <c r="A147" s="91"/>
      <c r="B147" s="91"/>
      <c r="C147" s="89" t="s">
        <v>375</v>
      </c>
      <c r="D147" s="90" t="s">
        <v>378</v>
      </c>
      <c r="E147" s="89" t="s">
        <v>101</v>
      </c>
      <c r="F147" s="81"/>
      <c r="G147" s="78"/>
      <c r="H147" s="78"/>
      <c r="I147" s="78"/>
      <c r="J147" s="78"/>
      <c r="K147" s="78"/>
      <c r="L147" s="78"/>
      <c r="M147" s="78"/>
      <c r="N147" s="78"/>
      <c r="O147" s="78"/>
      <c r="P147" s="78"/>
      <c r="Q147" s="78"/>
      <c r="R147" s="78"/>
      <c r="S147" s="78"/>
      <c r="T147" s="78"/>
      <c r="U147" s="78"/>
      <c r="V147" s="78"/>
      <c r="W147" s="78"/>
      <c r="X147" s="78"/>
      <c r="Y147" s="78"/>
      <c r="Z147" s="78"/>
    </row>
    <row r="148" spans="1:26" ht="14.4">
      <c r="A148" s="91"/>
      <c r="B148" s="91"/>
      <c r="C148" s="89" t="s">
        <v>379</v>
      </c>
      <c r="D148" s="90" t="s">
        <v>380</v>
      </c>
      <c r="E148" s="89" t="s">
        <v>101</v>
      </c>
      <c r="F148" s="81"/>
      <c r="G148" s="78"/>
      <c r="H148" s="78"/>
      <c r="I148" s="78"/>
      <c r="J148" s="78"/>
      <c r="K148" s="78"/>
      <c r="L148" s="78"/>
      <c r="M148" s="78"/>
      <c r="N148" s="78"/>
      <c r="O148" s="78"/>
      <c r="P148" s="78"/>
      <c r="Q148" s="78"/>
      <c r="R148" s="78"/>
      <c r="S148" s="78"/>
      <c r="T148" s="78"/>
      <c r="U148" s="78"/>
      <c r="V148" s="78"/>
      <c r="W148" s="78"/>
      <c r="X148" s="78"/>
      <c r="Y148" s="78"/>
      <c r="Z148" s="78"/>
    </row>
    <row r="149" spans="1:26" ht="14.4">
      <c r="A149" s="91"/>
      <c r="B149" s="91"/>
      <c r="C149" s="89" t="s">
        <v>381</v>
      </c>
      <c r="D149" s="90" t="s">
        <v>382</v>
      </c>
      <c r="E149" s="89" t="s">
        <v>101</v>
      </c>
      <c r="F149" s="81"/>
      <c r="G149" s="78"/>
      <c r="H149" s="78"/>
      <c r="I149" s="78"/>
      <c r="J149" s="78"/>
      <c r="K149" s="78"/>
      <c r="L149" s="78"/>
      <c r="M149" s="78"/>
      <c r="N149" s="78"/>
      <c r="O149" s="78"/>
      <c r="P149" s="78"/>
      <c r="Q149" s="78"/>
      <c r="R149" s="78"/>
      <c r="S149" s="78"/>
      <c r="T149" s="78"/>
      <c r="U149" s="78"/>
      <c r="V149" s="78"/>
      <c r="W149" s="78"/>
      <c r="X149" s="78"/>
      <c r="Y149" s="78"/>
      <c r="Z149" s="78"/>
    </row>
    <row r="150" spans="1:26" ht="14.4">
      <c r="A150" s="91"/>
      <c r="B150" s="91"/>
      <c r="C150" s="89" t="s">
        <v>381</v>
      </c>
      <c r="D150" s="90" t="s">
        <v>383</v>
      </c>
      <c r="E150" s="89" t="s">
        <v>101</v>
      </c>
      <c r="F150" s="81"/>
      <c r="G150" s="78"/>
      <c r="H150" s="78"/>
      <c r="I150" s="78"/>
      <c r="J150" s="78"/>
      <c r="K150" s="78"/>
      <c r="L150" s="78"/>
      <c r="M150" s="78"/>
      <c r="N150" s="78"/>
      <c r="O150" s="78"/>
      <c r="P150" s="78"/>
      <c r="Q150" s="78"/>
      <c r="R150" s="78"/>
      <c r="S150" s="78"/>
      <c r="T150" s="78"/>
      <c r="U150" s="78"/>
      <c r="V150" s="78"/>
      <c r="W150" s="78"/>
      <c r="X150" s="78"/>
      <c r="Y150" s="78"/>
      <c r="Z150" s="78"/>
    </row>
    <row r="151" spans="1:26" ht="14.4">
      <c r="A151" s="91"/>
      <c r="B151" s="91"/>
      <c r="C151" s="89" t="s">
        <v>381</v>
      </c>
      <c r="D151" s="90" t="s">
        <v>384</v>
      </c>
      <c r="E151" s="89" t="s">
        <v>101</v>
      </c>
      <c r="F151" s="81"/>
      <c r="G151" s="78"/>
      <c r="H151" s="78"/>
      <c r="I151" s="78"/>
      <c r="J151" s="78"/>
      <c r="K151" s="78"/>
      <c r="L151" s="78"/>
      <c r="M151" s="78"/>
      <c r="N151" s="78"/>
      <c r="O151" s="78"/>
      <c r="P151" s="78"/>
      <c r="Q151" s="78"/>
      <c r="R151" s="78"/>
      <c r="S151" s="78"/>
      <c r="T151" s="78"/>
      <c r="U151" s="78"/>
      <c r="V151" s="78"/>
      <c r="W151" s="78"/>
      <c r="X151" s="78"/>
      <c r="Y151" s="78"/>
      <c r="Z151" s="78"/>
    </row>
    <row r="152" spans="1:26" ht="14.4">
      <c r="A152" s="91"/>
      <c r="B152" s="91"/>
      <c r="C152" s="89" t="s">
        <v>385</v>
      </c>
      <c r="D152" s="90" t="s">
        <v>386</v>
      </c>
      <c r="E152" s="89" t="s">
        <v>101</v>
      </c>
      <c r="F152" s="81"/>
      <c r="G152" s="78"/>
      <c r="H152" s="78"/>
      <c r="I152" s="78"/>
      <c r="J152" s="78"/>
      <c r="K152" s="78"/>
      <c r="L152" s="78"/>
      <c r="M152" s="78"/>
      <c r="N152" s="78"/>
      <c r="O152" s="78"/>
      <c r="P152" s="78"/>
      <c r="Q152" s="78"/>
      <c r="R152" s="78"/>
      <c r="S152" s="78"/>
      <c r="T152" s="78"/>
      <c r="U152" s="78"/>
      <c r="V152" s="78"/>
      <c r="W152" s="78"/>
      <c r="X152" s="78"/>
      <c r="Y152" s="78"/>
      <c r="Z152" s="78"/>
    </row>
    <row r="153" spans="1:26" ht="14.4">
      <c r="A153" s="91"/>
      <c r="B153" s="91"/>
      <c r="C153" s="89" t="s">
        <v>387</v>
      </c>
      <c r="D153" s="90" t="s">
        <v>388</v>
      </c>
      <c r="E153" s="89" t="s">
        <v>101</v>
      </c>
      <c r="F153" s="81"/>
      <c r="G153" s="78"/>
      <c r="H153" s="78"/>
      <c r="I153" s="78"/>
      <c r="J153" s="78"/>
      <c r="K153" s="78"/>
      <c r="L153" s="78"/>
      <c r="M153" s="78"/>
      <c r="N153" s="78"/>
      <c r="O153" s="78"/>
      <c r="P153" s="78"/>
      <c r="Q153" s="78"/>
      <c r="R153" s="78"/>
      <c r="S153" s="78"/>
      <c r="T153" s="78"/>
      <c r="U153" s="78"/>
      <c r="V153" s="78"/>
      <c r="W153" s="78"/>
      <c r="X153" s="78"/>
      <c r="Y153" s="78"/>
      <c r="Z153" s="78"/>
    </row>
    <row r="154" spans="1:26" ht="14.4">
      <c r="A154" s="91"/>
      <c r="B154" s="89" t="s">
        <v>389</v>
      </c>
      <c r="C154" s="89" t="s">
        <v>390</v>
      </c>
      <c r="D154" s="90" t="s">
        <v>391</v>
      </c>
      <c r="E154" s="89" t="s">
        <v>101</v>
      </c>
      <c r="F154" s="81"/>
      <c r="G154" s="78"/>
      <c r="H154" s="78"/>
      <c r="I154" s="78"/>
      <c r="J154" s="78"/>
      <c r="K154" s="78"/>
      <c r="L154" s="78"/>
      <c r="M154" s="78"/>
      <c r="N154" s="78"/>
      <c r="O154" s="78"/>
      <c r="P154" s="78"/>
      <c r="Q154" s="78"/>
      <c r="R154" s="78"/>
      <c r="S154" s="78"/>
      <c r="T154" s="78"/>
      <c r="U154" s="78"/>
      <c r="V154" s="78"/>
      <c r="W154" s="78"/>
      <c r="X154" s="78"/>
      <c r="Y154" s="78"/>
      <c r="Z154" s="78"/>
    </row>
    <row r="155" spans="1:26" ht="14.4">
      <c r="A155" s="91"/>
      <c r="B155" s="91"/>
      <c r="C155" s="89" t="s">
        <v>390</v>
      </c>
      <c r="D155" s="90" t="s">
        <v>392</v>
      </c>
      <c r="E155" s="89" t="s">
        <v>101</v>
      </c>
      <c r="F155" s="81"/>
      <c r="G155" s="78"/>
      <c r="H155" s="78"/>
      <c r="I155" s="78"/>
      <c r="J155" s="78"/>
      <c r="K155" s="78"/>
      <c r="L155" s="78"/>
      <c r="M155" s="78"/>
      <c r="N155" s="78"/>
      <c r="O155" s="78"/>
      <c r="P155" s="78"/>
      <c r="Q155" s="78"/>
      <c r="R155" s="78"/>
      <c r="S155" s="78"/>
      <c r="T155" s="78"/>
      <c r="U155" s="78"/>
      <c r="V155" s="78"/>
      <c r="W155" s="78"/>
      <c r="X155" s="78"/>
      <c r="Y155" s="78"/>
      <c r="Z155" s="78"/>
    </row>
    <row r="156" spans="1:26" ht="14.4">
      <c r="A156" s="91"/>
      <c r="B156" s="91"/>
      <c r="C156" s="89" t="s">
        <v>393</v>
      </c>
      <c r="D156" s="90" t="s">
        <v>394</v>
      </c>
      <c r="E156" s="89" t="s">
        <v>101</v>
      </c>
      <c r="F156" s="81"/>
      <c r="G156" s="78"/>
      <c r="H156" s="78"/>
      <c r="I156" s="78"/>
      <c r="J156" s="78"/>
      <c r="K156" s="78"/>
      <c r="L156" s="78"/>
      <c r="M156" s="78"/>
      <c r="N156" s="78"/>
      <c r="O156" s="78"/>
      <c r="P156" s="78"/>
      <c r="Q156" s="78"/>
      <c r="R156" s="78"/>
      <c r="S156" s="78"/>
      <c r="T156" s="78"/>
      <c r="U156" s="78"/>
      <c r="V156" s="78"/>
      <c r="W156" s="78"/>
      <c r="X156" s="78"/>
      <c r="Y156" s="78"/>
      <c r="Z156" s="78"/>
    </row>
    <row r="157" spans="1:26" ht="14.4">
      <c r="A157" s="91"/>
      <c r="B157" s="91"/>
      <c r="C157" s="89" t="s">
        <v>395</v>
      </c>
      <c r="D157" s="90" t="s">
        <v>396</v>
      </c>
      <c r="E157" s="89" t="s">
        <v>101</v>
      </c>
      <c r="F157" s="81"/>
      <c r="G157" s="78"/>
      <c r="H157" s="78"/>
      <c r="I157" s="78"/>
      <c r="J157" s="78"/>
      <c r="K157" s="78"/>
      <c r="L157" s="78"/>
      <c r="M157" s="78"/>
      <c r="N157" s="78"/>
      <c r="O157" s="78"/>
      <c r="P157" s="78"/>
      <c r="Q157" s="78"/>
      <c r="R157" s="78"/>
      <c r="S157" s="78"/>
      <c r="T157" s="78"/>
      <c r="U157" s="78"/>
      <c r="V157" s="78"/>
      <c r="W157" s="78"/>
      <c r="X157" s="78"/>
      <c r="Y157" s="78"/>
      <c r="Z157" s="78"/>
    </row>
    <row r="158" spans="1:26" ht="14.4">
      <c r="A158" s="89" t="s">
        <v>397</v>
      </c>
      <c r="B158" s="89" t="s">
        <v>398</v>
      </c>
      <c r="C158" s="89" t="s">
        <v>399</v>
      </c>
      <c r="D158" s="90" t="s">
        <v>400</v>
      </c>
      <c r="E158" s="89" t="s">
        <v>101</v>
      </c>
      <c r="F158" s="81"/>
      <c r="G158" s="78"/>
      <c r="H158" s="78"/>
      <c r="I158" s="78"/>
      <c r="J158" s="78"/>
      <c r="K158" s="78"/>
      <c r="L158" s="78"/>
      <c r="M158" s="78"/>
      <c r="N158" s="78"/>
      <c r="O158" s="78"/>
      <c r="P158" s="78"/>
      <c r="Q158" s="78"/>
      <c r="R158" s="78"/>
      <c r="S158" s="78"/>
      <c r="T158" s="78"/>
      <c r="U158" s="78"/>
      <c r="V158" s="78"/>
      <c r="W158" s="78"/>
      <c r="X158" s="78"/>
      <c r="Y158" s="78"/>
      <c r="Z158" s="78"/>
    </row>
    <row r="159" spans="1:26" ht="14.4">
      <c r="A159" s="91"/>
      <c r="B159" s="91"/>
      <c r="C159" s="89" t="s">
        <v>399</v>
      </c>
      <c r="D159" s="90" t="s">
        <v>401</v>
      </c>
      <c r="E159" s="89" t="s">
        <v>101</v>
      </c>
      <c r="F159" s="81"/>
      <c r="G159" s="78"/>
      <c r="H159" s="78"/>
      <c r="I159" s="78"/>
      <c r="J159" s="78"/>
      <c r="K159" s="78"/>
      <c r="L159" s="78"/>
      <c r="M159" s="78"/>
      <c r="N159" s="78"/>
      <c r="O159" s="78"/>
      <c r="P159" s="78"/>
      <c r="Q159" s="78"/>
      <c r="R159" s="78"/>
      <c r="S159" s="78"/>
      <c r="T159" s="78"/>
      <c r="U159" s="78"/>
      <c r="V159" s="78"/>
      <c r="W159" s="78"/>
      <c r="X159" s="78"/>
      <c r="Y159" s="78"/>
      <c r="Z159" s="78"/>
    </row>
    <row r="160" spans="1:26" ht="14.4">
      <c r="A160" s="91"/>
      <c r="B160" s="91"/>
      <c r="C160" s="89" t="s">
        <v>399</v>
      </c>
      <c r="D160" s="90" t="s">
        <v>402</v>
      </c>
      <c r="E160" s="89" t="s">
        <v>101</v>
      </c>
      <c r="F160" s="81"/>
      <c r="G160" s="78"/>
      <c r="H160" s="78"/>
      <c r="I160" s="78"/>
      <c r="J160" s="78"/>
      <c r="K160" s="78"/>
      <c r="L160" s="78"/>
      <c r="M160" s="78"/>
      <c r="N160" s="78"/>
      <c r="O160" s="78"/>
      <c r="P160" s="78"/>
      <c r="Q160" s="78"/>
      <c r="R160" s="78"/>
      <c r="S160" s="78"/>
      <c r="T160" s="78"/>
      <c r="U160" s="78"/>
      <c r="V160" s="78"/>
      <c r="W160" s="78"/>
      <c r="X160" s="78"/>
      <c r="Y160" s="78"/>
      <c r="Z160" s="78"/>
    </row>
    <row r="161" spans="1:26" ht="14.4">
      <c r="A161" s="91"/>
      <c r="B161" s="91"/>
      <c r="C161" s="89" t="s">
        <v>403</v>
      </c>
      <c r="D161" s="90" t="s">
        <v>404</v>
      </c>
      <c r="E161" s="89" t="s">
        <v>101</v>
      </c>
      <c r="F161" s="81"/>
      <c r="G161" s="78"/>
      <c r="H161" s="78"/>
      <c r="I161" s="78"/>
      <c r="J161" s="78"/>
      <c r="K161" s="78"/>
      <c r="L161" s="78"/>
      <c r="M161" s="78"/>
      <c r="N161" s="78"/>
      <c r="O161" s="78"/>
      <c r="P161" s="78"/>
      <c r="Q161" s="78"/>
      <c r="R161" s="78"/>
      <c r="S161" s="78"/>
      <c r="T161" s="78"/>
      <c r="U161" s="78"/>
      <c r="V161" s="78"/>
      <c r="W161" s="78"/>
      <c r="X161" s="78"/>
      <c r="Y161" s="78"/>
      <c r="Z161" s="78"/>
    </row>
    <row r="162" spans="1:26" ht="14.4">
      <c r="A162" s="91"/>
      <c r="B162" s="91"/>
      <c r="C162" s="89" t="s">
        <v>353</v>
      </c>
      <c r="D162" s="90" t="s">
        <v>354</v>
      </c>
      <c r="E162" s="89" t="s">
        <v>101</v>
      </c>
      <c r="F162" s="81"/>
      <c r="G162" s="78"/>
      <c r="H162" s="78"/>
      <c r="I162" s="78"/>
      <c r="J162" s="78"/>
      <c r="K162" s="78"/>
      <c r="L162" s="78"/>
      <c r="M162" s="78"/>
      <c r="N162" s="78"/>
      <c r="O162" s="78"/>
      <c r="P162" s="78"/>
      <c r="Q162" s="78"/>
      <c r="R162" s="78"/>
      <c r="S162" s="78"/>
      <c r="T162" s="78"/>
      <c r="U162" s="78"/>
      <c r="V162" s="78"/>
      <c r="W162" s="78"/>
      <c r="X162" s="78"/>
      <c r="Y162" s="78"/>
      <c r="Z162" s="78"/>
    </row>
    <row r="163" spans="1:26" ht="14.4">
      <c r="A163" s="91"/>
      <c r="B163" s="91"/>
      <c r="C163" s="89" t="s">
        <v>405</v>
      </c>
      <c r="D163" s="90" t="s">
        <v>406</v>
      </c>
      <c r="E163" s="89" t="s">
        <v>101</v>
      </c>
      <c r="F163" s="81"/>
      <c r="G163" s="78"/>
      <c r="H163" s="78"/>
      <c r="I163" s="78"/>
      <c r="J163" s="78"/>
      <c r="K163" s="78"/>
      <c r="L163" s="78"/>
      <c r="M163" s="78"/>
      <c r="N163" s="78"/>
      <c r="O163" s="78"/>
      <c r="P163" s="78"/>
      <c r="Q163" s="78"/>
      <c r="R163" s="78"/>
      <c r="S163" s="78"/>
      <c r="T163" s="78"/>
      <c r="U163" s="78"/>
      <c r="V163" s="78"/>
      <c r="W163" s="78"/>
      <c r="X163" s="78"/>
      <c r="Y163" s="78"/>
      <c r="Z163" s="78"/>
    </row>
    <row r="164" spans="1:26" ht="14.4">
      <c r="A164" s="91"/>
      <c r="B164" s="91"/>
      <c r="C164" s="89" t="s">
        <v>120</v>
      </c>
      <c r="D164" s="90" t="s">
        <v>407</v>
      </c>
      <c r="E164" s="89" t="s">
        <v>101</v>
      </c>
      <c r="F164" s="81"/>
      <c r="G164" s="78"/>
      <c r="H164" s="78"/>
      <c r="I164" s="78"/>
      <c r="J164" s="78"/>
      <c r="K164" s="78"/>
      <c r="L164" s="78"/>
      <c r="M164" s="78"/>
      <c r="N164" s="78"/>
      <c r="O164" s="78"/>
      <c r="P164" s="78"/>
      <c r="Q164" s="78"/>
      <c r="R164" s="78"/>
      <c r="S164" s="78"/>
      <c r="T164" s="78"/>
      <c r="U164" s="78"/>
      <c r="V164" s="78"/>
      <c r="W164" s="78"/>
      <c r="X164" s="78"/>
      <c r="Y164" s="78"/>
      <c r="Z164" s="78"/>
    </row>
    <row r="165" spans="1:26" ht="14.4">
      <c r="A165" s="91"/>
      <c r="B165" s="89" t="s">
        <v>408</v>
      </c>
      <c r="C165" s="89" t="s">
        <v>364</v>
      </c>
      <c r="D165" s="90" t="s">
        <v>409</v>
      </c>
      <c r="E165" s="89" t="s">
        <v>101</v>
      </c>
      <c r="F165" s="81"/>
      <c r="G165" s="78"/>
      <c r="H165" s="78"/>
      <c r="I165" s="78"/>
      <c r="J165" s="78"/>
      <c r="K165" s="78"/>
      <c r="L165" s="78"/>
      <c r="M165" s="78"/>
      <c r="N165" s="78"/>
      <c r="O165" s="78"/>
      <c r="P165" s="78"/>
      <c r="Q165" s="78"/>
      <c r="R165" s="78"/>
      <c r="S165" s="78"/>
      <c r="T165" s="78"/>
      <c r="U165" s="78"/>
      <c r="V165" s="78"/>
      <c r="W165" s="78"/>
      <c r="X165" s="78"/>
      <c r="Y165" s="78"/>
      <c r="Z165" s="78"/>
    </row>
    <row r="166" spans="1:26" ht="14.4">
      <c r="A166" s="91"/>
      <c r="B166" s="91"/>
      <c r="C166" s="89" t="s">
        <v>366</v>
      </c>
      <c r="D166" s="90" t="s">
        <v>367</v>
      </c>
      <c r="E166" s="89" t="s">
        <v>101</v>
      </c>
      <c r="F166" s="81"/>
      <c r="G166" s="78"/>
      <c r="H166" s="78"/>
      <c r="I166" s="78"/>
      <c r="J166" s="78"/>
      <c r="K166" s="78"/>
      <c r="L166" s="78"/>
      <c r="M166" s="78"/>
      <c r="N166" s="78"/>
      <c r="O166" s="78"/>
      <c r="P166" s="78"/>
      <c r="Q166" s="78"/>
      <c r="R166" s="78"/>
      <c r="S166" s="78"/>
      <c r="T166" s="78"/>
      <c r="U166" s="78"/>
      <c r="V166" s="78"/>
      <c r="W166" s="78"/>
      <c r="X166" s="78"/>
      <c r="Y166" s="78"/>
      <c r="Z166" s="78"/>
    </row>
    <row r="167" spans="1:26" ht="14.4">
      <c r="A167" s="91"/>
      <c r="B167" s="91"/>
      <c r="C167" s="89" t="s">
        <v>366</v>
      </c>
      <c r="D167" s="90" t="s">
        <v>368</v>
      </c>
      <c r="E167" s="89" t="s">
        <v>101</v>
      </c>
      <c r="F167" s="81"/>
      <c r="G167" s="78"/>
      <c r="H167" s="78"/>
      <c r="I167" s="78"/>
      <c r="J167" s="78"/>
      <c r="K167" s="78"/>
      <c r="L167" s="78"/>
      <c r="M167" s="78"/>
      <c r="N167" s="78"/>
      <c r="O167" s="78"/>
      <c r="P167" s="78"/>
      <c r="Q167" s="78"/>
      <c r="R167" s="78"/>
      <c r="S167" s="78"/>
      <c r="T167" s="78"/>
      <c r="U167" s="78"/>
      <c r="V167" s="78"/>
      <c r="W167" s="78"/>
      <c r="X167" s="78"/>
      <c r="Y167" s="78"/>
      <c r="Z167" s="78"/>
    </row>
    <row r="168" spans="1:26" ht="14.4">
      <c r="A168" s="91"/>
      <c r="B168" s="91"/>
      <c r="C168" s="89" t="s">
        <v>369</v>
      </c>
      <c r="D168" s="90" t="s">
        <v>371</v>
      </c>
      <c r="E168" s="89" t="s">
        <v>101</v>
      </c>
      <c r="F168" s="81"/>
      <c r="G168" s="78"/>
      <c r="H168" s="78"/>
      <c r="I168" s="78"/>
      <c r="J168" s="78"/>
      <c r="K168" s="78"/>
      <c r="L168" s="78"/>
      <c r="M168" s="78"/>
      <c r="N168" s="78"/>
      <c r="O168" s="78"/>
      <c r="P168" s="78"/>
      <c r="Q168" s="78"/>
      <c r="R168" s="78"/>
      <c r="S168" s="78"/>
      <c r="T168" s="78"/>
      <c r="U168" s="78"/>
      <c r="V168" s="78"/>
      <c r="W168" s="78"/>
      <c r="X168" s="78"/>
      <c r="Y168" s="78"/>
      <c r="Z168" s="78"/>
    </row>
    <row r="169" spans="1:26" ht="14.4">
      <c r="A169" s="91"/>
      <c r="B169" s="91"/>
      <c r="C169" s="89" t="s">
        <v>369</v>
      </c>
      <c r="D169" s="90" t="s">
        <v>372</v>
      </c>
      <c r="E169" s="89" t="s">
        <v>101</v>
      </c>
      <c r="F169" s="81"/>
      <c r="G169" s="78"/>
      <c r="H169" s="78"/>
      <c r="I169" s="78"/>
      <c r="J169" s="78"/>
      <c r="K169" s="78"/>
      <c r="L169" s="78"/>
      <c r="M169" s="78"/>
      <c r="N169" s="78"/>
      <c r="O169" s="78"/>
      <c r="P169" s="78"/>
      <c r="Q169" s="78"/>
      <c r="R169" s="78"/>
      <c r="S169" s="78"/>
      <c r="T169" s="78"/>
      <c r="U169" s="78"/>
      <c r="V169" s="78"/>
      <c r="W169" s="78"/>
      <c r="X169" s="78"/>
      <c r="Y169" s="78"/>
      <c r="Z169" s="78"/>
    </row>
    <row r="170" spans="1:26" ht="14.4">
      <c r="A170" s="91"/>
      <c r="B170" s="91"/>
      <c r="C170" s="89" t="s">
        <v>364</v>
      </c>
      <c r="D170" s="90" t="s">
        <v>410</v>
      </c>
      <c r="E170" s="89" t="s">
        <v>101</v>
      </c>
      <c r="F170" s="81"/>
      <c r="G170" s="78"/>
      <c r="H170" s="78"/>
      <c r="I170" s="78"/>
      <c r="J170" s="78"/>
      <c r="K170" s="78"/>
      <c r="L170" s="78"/>
      <c r="M170" s="78"/>
      <c r="N170" s="78"/>
      <c r="O170" s="78"/>
      <c r="P170" s="78"/>
      <c r="Q170" s="78"/>
      <c r="R170" s="78"/>
      <c r="S170" s="78"/>
      <c r="T170" s="78"/>
      <c r="U170" s="78"/>
      <c r="V170" s="78"/>
      <c r="W170" s="78"/>
      <c r="X170" s="78"/>
      <c r="Y170" s="78"/>
      <c r="Z170" s="78"/>
    </row>
    <row r="171" spans="1:26" ht="14.4">
      <c r="A171" s="91"/>
      <c r="B171" s="91"/>
      <c r="C171" s="89" t="s">
        <v>411</v>
      </c>
      <c r="D171" s="90" t="s">
        <v>412</v>
      </c>
      <c r="E171" s="89" t="s">
        <v>101</v>
      </c>
      <c r="F171" s="81"/>
      <c r="G171" s="78"/>
      <c r="H171" s="78"/>
      <c r="I171" s="78"/>
      <c r="J171" s="78"/>
      <c r="K171" s="78"/>
      <c r="L171" s="78"/>
      <c r="M171" s="78"/>
      <c r="N171" s="78"/>
      <c r="O171" s="78"/>
      <c r="P171" s="78"/>
      <c r="Q171" s="78"/>
      <c r="R171" s="78"/>
      <c r="S171" s="78"/>
      <c r="T171" s="78"/>
      <c r="U171" s="78"/>
      <c r="V171" s="78"/>
      <c r="W171" s="78"/>
      <c r="X171" s="78"/>
      <c r="Y171" s="78"/>
      <c r="Z171" s="78"/>
    </row>
    <row r="172" spans="1:26" ht="14.4">
      <c r="A172" s="91"/>
      <c r="B172" s="89" t="s">
        <v>413</v>
      </c>
      <c r="C172" s="89" t="s">
        <v>375</v>
      </c>
      <c r="D172" s="90" t="s">
        <v>414</v>
      </c>
      <c r="E172" s="89" t="s">
        <v>101</v>
      </c>
      <c r="F172" s="81"/>
      <c r="G172" s="78"/>
      <c r="H172" s="78"/>
      <c r="I172" s="78"/>
      <c r="J172" s="78"/>
      <c r="K172" s="78"/>
      <c r="L172" s="78"/>
      <c r="M172" s="78"/>
      <c r="N172" s="78"/>
      <c r="O172" s="78"/>
      <c r="P172" s="78"/>
      <c r="Q172" s="78"/>
      <c r="R172" s="78"/>
      <c r="S172" s="78"/>
      <c r="T172" s="78"/>
      <c r="U172" s="78"/>
      <c r="V172" s="78"/>
      <c r="W172" s="78"/>
      <c r="X172" s="78"/>
      <c r="Y172" s="78"/>
      <c r="Z172" s="78"/>
    </row>
    <row r="173" spans="1:26" ht="14.4">
      <c r="A173" s="91"/>
      <c r="B173" s="91"/>
      <c r="C173" s="89" t="s">
        <v>375</v>
      </c>
      <c r="D173" s="90" t="s">
        <v>415</v>
      </c>
      <c r="E173" s="89" t="s">
        <v>101</v>
      </c>
      <c r="F173" s="81"/>
      <c r="G173" s="78"/>
      <c r="H173" s="78"/>
      <c r="I173" s="78"/>
      <c r="J173" s="78"/>
      <c r="K173" s="78"/>
      <c r="L173" s="78"/>
      <c r="M173" s="78"/>
      <c r="N173" s="78"/>
      <c r="O173" s="78"/>
      <c r="P173" s="78"/>
      <c r="Q173" s="78"/>
      <c r="R173" s="78"/>
      <c r="S173" s="78"/>
      <c r="T173" s="78"/>
      <c r="U173" s="78"/>
      <c r="V173" s="78"/>
      <c r="W173" s="78"/>
      <c r="X173" s="78"/>
      <c r="Y173" s="78"/>
      <c r="Z173" s="78"/>
    </row>
    <row r="174" spans="1:26" ht="14.4">
      <c r="A174" s="91"/>
      <c r="B174" s="91"/>
      <c r="C174" s="89" t="s">
        <v>379</v>
      </c>
      <c r="D174" s="90" t="s">
        <v>416</v>
      </c>
      <c r="E174" s="89" t="s">
        <v>101</v>
      </c>
      <c r="F174" s="81"/>
      <c r="G174" s="78"/>
      <c r="H174" s="78"/>
      <c r="I174" s="78"/>
      <c r="J174" s="78"/>
      <c r="K174" s="78"/>
      <c r="L174" s="78"/>
      <c r="M174" s="78"/>
      <c r="N174" s="78"/>
      <c r="O174" s="78"/>
      <c r="P174" s="78"/>
      <c r="Q174" s="78"/>
      <c r="R174" s="78"/>
      <c r="S174" s="78"/>
      <c r="T174" s="78"/>
      <c r="U174" s="78"/>
      <c r="V174" s="78"/>
      <c r="W174" s="78"/>
      <c r="X174" s="78"/>
      <c r="Y174" s="78"/>
      <c r="Z174" s="78"/>
    </row>
    <row r="175" spans="1:26" ht="14.4">
      <c r="A175" s="91"/>
      <c r="B175" s="91"/>
      <c r="C175" s="89" t="s">
        <v>417</v>
      </c>
      <c r="D175" s="90" t="s">
        <v>418</v>
      </c>
      <c r="E175" s="89" t="s">
        <v>101</v>
      </c>
      <c r="F175" s="81"/>
      <c r="G175" s="78"/>
      <c r="H175" s="78"/>
      <c r="I175" s="78"/>
      <c r="J175" s="78"/>
      <c r="K175" s="78"/>
      <c r="L175" s="78"/>
      <c r="M175" s="78"/>
      <c r="N175" s="78"/>
      <c r="O175" s="78"/>
      <c r="P175" s="78"/>
      <c r="Q175" s="78"/>
      <c r="R175" s="78"/>
      <c r="S175" s="78"/>
      <c r="T175" s="78"/>
      <c r="U175" s="78"/>
      <c r="V175" s="78"/>
      <c r="W175" s="78"/>
      <c r="X175" s="78"/>
      <c r="Y175" s="78"/>
      <c r="Z175" s="78"/>
    </row>
    <row r="176" spans="1:26" ht="14.4">
      <c r="A176" s="91"/>
      <c r="B176" s="91"/>
      <c r="C176" s="89" t="s">
        <v>419</v>
      </c>
      <c r="D176" s="90" t="s">
        <v>420</v>
      </c>
      <c r="E176" s="89" t="s">
        <v>101</v>
      </c>
      <c r="F176" s="81"/>
      <c r="G176" s="78"/>
      <c r="H176" s="78"/>
      <c r="I176" s="78"/>
      <c r="J176" s="78"/>
      <c r="K176" s="78"/>
      <c r="L176" s="78"/>
      <c r="M176" s="78"/>
      <c r="N176" s="78"/>
      <c r="O176" s="78"/>
      <c r="P176" s="78"/>
      <c r="Q176" s="78"/>
      <c r="R176" s="78"/>
      <c r="S176" s="78"/>
      <c r="T176" s="78"/>
      <c r="U176" s="78"/>
      <c r="V176" s="78"/>
      <c r="W176" s="78"/>
      <c r="X176" s="78"/>
      <c r="Y176" s="78"/>
      <c r="Z176" s="78"/>
    </row>
    <row r="177" spans="1:26" ht="14.4">
      <c r="A177" s="91"/>
      <c r="B177" s="91"/>
      <c r="C177" s="89" t="s">
        <v>385</v>
      </c>
      <c r="D177" s="90" t="s">
        <v>421</v>
      </c>
      <c r="E177" s="89" t="s">
        <v>101</v>
      </c>
      <c r="F177" s="81"/>
      <c r="G177" s="78"/>
      <c r="H177" s="78"/>
      <c r="I177" s="78"/>
      <c r="J177" s="78"/>
      <c r="K177" s="78"/>
      <c r="L177" s="78"/>
      <c r="M177" s="78"/>
      <c r="N177" s="78"/>
      <c r="O177" s="78"/>
      <c r="P177" s="78"/>
      <c r="Q177" s="78"/>
      <c r="R177" s="78"/>
      <c r="S177" s="78"/>
      <c r="T177" s="78"/>
      <c r="U177" s="78"/>
      <c r="V177" s="78"/>
      <c r="W177" s="78"/>
      <c r="X177" s="78"/>
      <c r="Y177" s="78"/>
      <c r="Z177" s="78"/>
    </row>
    <row r="178" spans="1:26" ht="14.4">
      <c r="A178" s="91"/>
      <c r="B178" s="91"/>
      <c r="C178" s="89" t="s">
        <v>422</v>
      </c>
      <c r="D178" s="90" t="s">
        <v>423</v>
      </c>
      <c r="E178" s="89" t="s">
        <v>101</v>
      </c>
      <c r="F178" s="81"/>
      <c r="G178" s="78"/>
      <c r="H178" s="78"/>
      <c r="I178" s="78"/>
      <c r="J178" s="78"/>
      <c r="K178" s="78"/>
      <c r="L178" s="78"/>
      <c r="M178" s="78"/>
      <c r="N178" s="78"/>
      <c r="O178" s="78"/>
      <c r="P178" s="78"/>
      <c r="Q178" s="78"/>
      <c r="R178" s="78"/>
      <c r="S178" s="78"/>
      <c r="T178" s="78"/>
      <c r="U178" s="78"/>
      <c r="V178" s="78"/>
      <c r="W178" s="78"/>
      <c r="X178" s="78"/>
      <c r="Y178" s="78"/>
      <c r="Z178" s="78"/>
    </row>
    <row r="179" spans="1:26" ht="14.4">
      <c r="A179" s="91"/>
      <c r="B179" s="91"/>
      <c r="C179" s="89" t="s">
        <v>387</v>
      </c>
      <c r="D179" s="90" t="s">
        <v>424</v>
      </c>
      <c r="E179" s="89" t="s">
        <v>101</v>
      </c>
      <c r="F179" s="81"/>
      <c r="G179" s="78"/>
      <c r="H179" s="78"/>
      <c r="I179" s="78"/>
      <c r="J179" s="78"/>
      <c r="K179" s="78"/>
      <c r="L179" s="78"/>
      <c r="M179" s="78"/>
      <c r="N179" s="78"/>
      <c r="O179" s="78"/>
      <c r="P179" s="78"/>
      <c r="Q179" s="78"/>
      <c r="R179" s="78"/>
      <c r="S179" s="78"/>
      <c r="T179" s="78"/>
      <c r="U179" s="78"/>
      <c r="V179" s="78"/>
      <c r="W179" s="78"/>
      <c r="X179" s="78"/>
      <c r="Y179" s="78"/>
      <c r="Z179" s="78"/>
    </row>
    <row r="180" spans="1:26" ht="14.4">
      <c r="A180" s="91"/>
      <c r="B180" s="91"/>
      <c r="C180" s="89" t="s">
        <v>425</v>
      </c>
      <c r="D180" s="90" t="s">
        <v>426</v>
      </c>
      <c r="E180" s="89" t="s">
        <v>101</v>
      </c>
      <c r="F180" s="81"/>
      <c r="G180" s="78"/>
      <c r="H180" s="78"/>
      <c r="I180" s="78"/>
      <c r="J180" s="78"/>
      <c r="K180" s="78"/>
      <c r="L180" s="78"/>
      <c r="M180" s="78"/>
      <c r="N180" s="78"/>
      <c r="O180" s="78"/>
      <c r="P180" s="78"/>
      <c r="Q180" s="78"/>
      <c r="R180" s="78"/>
      <c r="S180" s="78"/>
      <c r="T180" s="78"/>
      <c r="U180" s="78"/>
      <c r="V180" s="78"/>
      <c r="W180" s="78"/>
      <c r="X180" s="78"/>
      <c r="Y180" s="78"/>
      <c r="Z180" s="78"/>
    </row>
    <row r="181" spans="1:26" ht="14.4">
      <c r="A181" s="91"/>
      <c r="B181" s="89" t="s">
        <v>427</v>
      </c>
      <c r="C181" s="89" t="s">
        <v>390</v>
      </c>
      <c r="D181" s="90" t="s">
        <v>428</v>
      </c>
      <c r="E181" s="89" t="s">
        <v>101</v>
      </c>
      <c r="F181" s="81"/>
      <c r="G181" s="78"/>
      <c r="H181" s="78"/>
      <c r="I181" s="78"/>
      <c r="J181" s="78"/>
      <c r="K181" s="78"/>
      <c r="L181" s="78"/>
      <c r="M181" s="78"/>
      <c r="N181" s="78"/>
      <c r="O181" s="78"/>
      <c r="P181" s="78"/>
      <c r="Q181" s="78"/>
      <c r="R181" s="78"/>
      <c r="S181" s="78"/>
      <c r="T181" s="78"/>
      <c r="U181" s="78"/>
      <c r="V181" s="78"/>
      <c r="W181" s="78"/>
      <c r="X181" s="78"/>
      <c r="Y181" s="78"/>
      <c r="Z181" s="78"/>
    </row>
    <row r="182" spans="1:26" ht="14.4">
      <c r="A182" s="91"/>
      <c r="B182" s="91"/>
      <c r="C182" s="89" t="s">
        <v>390</v>
      </c>
      <c r="D182" s="90" t="s">
        <v>429</v>
      </c>
      <c r="E182" s="89" t="s">
        <v>101</v>
      </c>
      <c r="F182" s="81"/>
      <c r="G182" s="78"/>
      <c r="H182" s="78"/>
      <c r="I182" s="78"/>
      <c r="J182" s="78"/>
      <c r="K182" s="78"/>
      <c r="L182" s="78"/>
      <c r="M182" s="78"/>
      <c r="N182" s="78"/>
      <c r="O182" s="78"/>
      <c r="P182" s="78"/>
      <c r="Q182" s="78"/>
      <c r="R182" s="78"/>
      <c r="S182" s="78"/>
      <c r="T182" s="78"/>
      <c r="U182" s="78"/>
      <c r="V182" s="78"/>
      <c r="W182" s="78"/>
      <c r="X182" s="78"/>
      <c r="Y182" s="78"/>
      <c r="Z182" s="78"/>
    </row>
    <row r="183" spans="1:26" ht="14.4">
      <c r="A183" s="91"/>
      <c r="B183" s="91"/>
      <c r="C183" s="89" t="s">
        <v>395</v>
      </c>
      <c r="D183" s="90" t="s">
        <v>396</v>
      </c>
      <c r="E183" s="89" t="s">
        <v>101</v>
      </c>
      <c r="F183" s="81"/>
      <c r="G183" s="78"/>
      <c r="H183" s="78"/>
      <c r="I183" s="78"/>
      <c r="J183" s="78"/>
      <c r="K183" s="78"/>
      <c r="L183" s="78"/>
      <c r="M183" s="78"/>
      <c r="N183" s="78"/>
      <c r="O183" s="78"/>
      <c r="P183" s="78"/>
      <c r="Q183" s="78"/>
      <c r="R183" s="78"/>
      <c r="S183" s="78"/>
      <c r="T183" s="78"/>
      <c r="U183" s="78"/>
      <c r="V183" s="78"/>
      <c r="W183" s="78"/>
      <c r="X183" s="78"/>
      <c r="Y183" s="78"/>
      <c r="Z183" s="78"/>
    </row>
    <row r="184" spans="1:26" ht="14.4">
      <c r="A184" s="91"/>
      <c r="B184" s="91"/>
      <c r="C184" s="89" t="s">
        <v>393</v>
      </c>
      <c r="D184" s="90" t="s">
        <v>394</v>
      </c>
      <c r="E184" s="89" t="s">
        <v>101</v>
      </c>
      <c r="F184" s="81"/>
      <c r="G184" s="78"/>
      <c r="H184" s="78"/>
      <c r="I184" s="78"/>
      <c r="J184" s="78"/>
      <c r="K184" s="78"/>
      <c r="L184" s="78"/>
      <c r="M184" s="78"/>
      <c r="N184" s="78"/>
      <c r="O184" s="78"/>
      <c r="P184" s="78"/>
      <c r="Q184" s="78"/>
      <c r="R184" s="78"/>
      <c r="S184" s="78"/>
      <c r="T184" s="78"/>
      <c r="U184" s="78"/>
      <c r="V184" s="78"/>
      <c r="W184" s="78"/>
      <c r="X184" s="78"/>
      <c r="Y184" s="78"/>
      <c r="Z184" s="78"/>
    </row>
    <row r="185" spans="1:26" ht="28.2">
      <c r="A185" s="88" t="s">
        <v>430</v>
      </c>
      <c r="B185" s="89" t="s">
        <v>431</v>
      </c>
      <c r="C185" s="89" t="s">
        <v>353</v>
      </c>
      <c r="D185" s="90" t="s">
        <v>354</v>
      </c>
      <c r="E185" s="89" t="s">
        <v>101</v>
      </c>
      <c r="F185" s="81"/>
      <c r="G185" s="78"/>
      <c r="H185" s="78"/>
      <c r="I185" s="78"/>
      <c r="J185" s="78"/>
      <c r="K185" s="78"/>
      <c r="L185" s="78"/>
      <c r="M185" s="78"/>
      <c r="N185" s="78"/>
      <c r="O185" s="78"/>
      <c r="P185" s="78"/>
      <c r="Q185" s="78"/>
      <c r="R185" s="78"/>
      <c r="S185" s="78"/>
      <c r="T185" s="78"/>
      <c r="U185" s="78"/>
      <c r="V185" s="78"/>
      <c r="W185" s="78"/>
      <c r="X185" s="78"/>
      <c r="Y185" s="78"/>
      <c r="Z185" s="78"/>
    </row>
    <row r="186" spans="1:26" ht="14.4">
      <c r="A186" s="91"/>
      <c r="B186" s="91"/>
      <c r="C186" s="89" t="s">
        <v>432</v>
      </c>
      <c r="D186" s="90" t="s">
        <v>433</v>
      </c>
      <c r="E186" s="89" t="s">
        <v>125</v>
      </c>
      <c r="F186" s="81"/>
      <c r="G186" s="78"/>
      <c r="H186" s="78"/>
      <c r="I186" s="78"/>
      <c r="J186" s="78"/>
      <c r="K186" s="78"/>
      <c r="L186" s="78"/>
      <c r="M186" s="78"/>
      <c r="N186" s="78"/>
      <c r="O186" s="78"/>
      <c r="P186" s="78"/>
      <c r="Q186" s="78"/>
      <c r="R186" s="78"/>
      <c r="S186" s="78"/>
      <c r="T186" s="78"/>
      <c r="U186" s="78"/>
      <c r="V186" s="78"/>
      <c r="W186" s="78"/>
      <c r="X186" s="78"/>
      <c r="Y186" s="78"/>
      <c r="Z186" s="78"/>
    </row>
    <row r="187" spans="1:26" ht="14.4">
      <c r="A187" s="91"/>
      <c r="B187" s="91"/>
      <c r="C187" s="89" t="s">
        <v>434</v>
      </c>
      <c r="D187" s="90" t="s">
        <v>435</v>
      </c>
      <c r="E187" s="89" t="s">
        <v>101</v>
      </c>
      <c r="F187" s="81"/>
      <c r="G187" s="78"/>
      <c r="H187" s="78"/>
      <c r="I187" s="78"/>
      <c r="J187" s="78"/>
      <c r="K187" s="78"/>
      <c r="L187" s="78"/>
      <c r="M187" s="78"/>
      <c r="N187" s="78"/>
      <c r="O187" s="78"/>
      <c r="P187" s="78"/>
      <c r="Q187" s="78"/>
      <c r="R187" s="78"/>
      <c r="S187" s="78"/>
      <c r="T187" s="78"/>
      <c r="U187" s="78"/>
      <c r="V187" s="78"/>
      <c r="W187" s="78"/>
      <c r="X187" s="78"/>
      <c r="Y187" s="78"/>
      <c r="Z187" s="78"/>
    </row>
    <row r="188" spans="1:26" ht="14.4">
      <c r="A188" s="91"/>
      <c r="B188" s="91"/>
      <c r="C188" s="89" t="s">
        <v>434</v>
      </c>
      <c r="D188" s="90" t="s">
        <v>436</v>
      </c>
      <c r="E188" s="89" t="s">
        <v>101</v>
      </c>
      <c r="F188" s="81"/>
      <c r="G188" s="78"/>
      <c r="H188" s="78"/>
      <c r="I188" s="78"/>
      <c r="J188" s="78"/>
      <c r="K188" s="78"/>
      <c r="L188" s="78"/>
      <c r="M188" s="78"/>
      <c r="N188" s="78"/>
      <c r="O188" s="78"/>
      <c r="P188" s="78"/>
      <c r="Q188" s="78"/>
      <c r="R188" s="78"/>
      <c r="S188" s="78"/>
      <c r="T188" s="78"/>
      <c r="U188" s="78"/>
      <c r="V188" s="78"/>
      <c r="W188" s="78"/>
      <c r="X188" s="78"/>
      <c r="Y188" s="78"/>
      <c r="Z188" s="78"/>
    </row>
    <row r="189" spans="1:26" ht="14.4">
      <c r="A189" s="91"/>
      <c r="B189" s="91"/>
      <c r="C189" s="89" t="s">
        <v>403</v>
      </c>
      <c r="D189" s="90" t="s">
        <v>437</v>
      </c>
      <c r="E189" s="89" t="s">
        <v>101</v>
      </c>
      <c r="F189" s="81"/>
      <c r="G189" s="78"/>
      <c r="H189" s="78"/>
      <c r="I189" s="78"/>
      <c r="J189" s="78"/>
      <c r="K189" s="78"/>
      <c r="L189" s="78"/>
      <c r="M189" s="78"/>
      <c r="N189" s="78"/>
      <c r="O189" s="78"/>
      <c r="P189" s="78"/>
      <c r="Q189" s="78"/>
      <c r="R189" s="78"/>
      <c r="S189" s="78"/>
      <c r="T189" s="78"/>
      <c r="U189" s="78"/>
      <c r="V189" s="78"/>
      <c r="W189" s="78"/>
      <c r="X189" s="78"/>
      <c r="Y189" s="78"/>
      <c r="Z189" s="78"/>
    </row>
    <row r="190" spans="1:26" ht="14.4">
      <c r="A190" s="91"/>
      <c r="B190" s="91"/>
      <c r="C190" s="89" t="s">
        <v>438</v>
      </c>
      <c r="D190" s="90" t="s">
        <v>439</v>
      </c>
      <c r="E190" s="89" t="s">
        <v>101</v>
      </c>
      <c r="F190" s="81"/>
      <c r="G190" s="78"/>
      <c r="H190" s="78"/>
      <c r="I190" s="78"/>
      <c r="J190" s="78"/>
      <c r="K190" s="78"/>
      <c r="L190" s="78"/>
      <c r="M190" s="78"/>
      <c r="N190" s="78"/>
      <c r="O190" s="78"/>
      <c r="P190" s="78"/>
      <c r="Q190" s="78"/>
      <c r="R190" s="78"/>
      <c r="S190" s="78"/>
      <c r="T190" s="78"/>
      <c r="U190" s="78"/>
      <c r="V190" s="78"/>
      <c r="W190" s="78"/>
      <c r="X190" s="78"/>
      <c r="Y190" s="78"/>
      <c r="Z190" s="78"/>
    </row>
    <row r="191" spans="1:26" ht="14.4">
      <c r="A191" s="91"/>
      <c r="B191" s="91"/>
      <c r="C191" s="89" t="s">
        <v>440</v>
      </c>
      <c r="D191" s="90" t="s">
        <v>441</v>
      </c>
      <c r="E191" s="89" t="s">
        <v>101</v>
      </c>
      <c r="F191" s="81"/>
      <c r="G191" s="78"/>
      <c r="H191" s="78"/>
      <c r="I191" s="78"/>
      <c r="J191" s="78"/>
      <c r="K191" s="78"/>
      <c r="L191" s="78"/>
      <c r="M191" s="78"/>
      <c r="N191" s="78"/>
      <c r="O191" s="78"/>
      <c r="P191" s="78"/>
      <c r="Q191" s="78"/>
      <c r="R191" s="78"/>
      <c r="S191" s="78"/>
      <c r="T191" s="78"/>
      <c r="U191" s="78"/>
      <c r="V191" s="78"/>
      <c r="W191" s="78"/>
      <c r="X191" s="78"/>
      <c r="Y191" s="78"/>
      <c r="Z191" s="78"/>
    </row>
    <row r="192" spans="1:26" ht="14.4">
      <c r="A192" s="91"/>
      <c r="B192" s="91"/>
      <c r="C192" s="89" t="s">
        <v>120</v>
      </c>
      <c r="D192" s="90" t="s">
        <v>442</v>
      </c>
      <c r="E192" s="89" t="s">
        <v>101</v>
      </c>
      <c r="F192" s="81"/>
      <c r="G192" s="78"/>
      <c r="H192" s="78"/>
      <c r="I192" s="78"/>
      <c r="J192" s="78"/>
      <c r="K192" s="78"/>
      <c r="L192" s="78"/>
      <c r="M192" s="78"/>
      <c r="N192" s="78"/>
      <c r="O192" s="78"/>
      <c r="P192" s="78"/>
      <c r="Q192" s="78"/>
      <c r="R192" s="78"/>
      <c r="S192" s="78"/>
      <c r="T192" s="78"/>
      <c r="U192" s="78"/>
      <c r="V192" s="78"/>
      <c r="W192" s="78"/>
      <c r="X192" s="78"/>
      <c r="Y192" s="78"/>
      <c r="Z192" s="78"/>
    </row>
    <row r="193" spans="1:26" ht="14.4">
      <c r="A193" s="91"/>
      <c r="B193" s="89" t="s">
        <v>443</v>
      </c>
      <c r="C193" s="89" t="s">
        <v>364</v>
      </c>
      <c r="D193" s="90" t="s">
        <v>409</v>
      </c>
      <c r="E193" s="89" t="s">
        <v>101</v>
      </c>
      <c r="F193" s="81"/>
      <c r="G193" s="78"/>
      <c r="H193" s="78"/>
      <c r="I193" s="78"/>
      <c r="J193" s="78"/>
      <c r="K193" s="78"/>
      <c r="L193" s="78"/>
      <c r="M193" s="78"/>
      <c r="N193" s="78"/>
      <c r="O193" s="78"/>
      <c r="P193" s="78"/>
      <c r="Q193" s="78"/>
      <c r="R193" s="78"/>
      <c r="S193" s="78"/>
      <c r="T193" s="78"/>
      <c r="U193" s="78"/>
      <c r="V193" s="78"/>
      <c r="W193" s="78"/>
      <c r="X193" s="78"/>
      <c r="Y193" s="78"/>
      <c r="Z193" s="78"/>
    </row>
    <row r="194" spans="1:26" ht="14.4">
      <c r="A194" s="91"/>
      <c r="B194" s="91"/>
      <c r="C194" s="89" t="s">
        <v>366</v>
      </c>
      <c r="D194" s="90" t="s">
        <v>367</v>
      </c>
      <c r="E194" s="89" t="s">
        <v>101</v>
      </c>
      <c r="F194" s="81"/>
      <c r="G194" s="78"/>
      <c r="H194" s="78"/>
      <c r="I194" s="78"/>
      <c r="J194" s="78"/>
      <c r="K194" s="78"/>
      <c r="L194" s="78"/>
      <c r="M194" s="78"/>
      <c r="N194" s="78"/>
      <c r="O194" s="78"/>
      <c r="P194" s="78"/>
      <c r="Q194" s="78"/>
      <c r="R194" s="78"/>
      <c r="S194" s="78"/>
      <c r="T194" s="78"/>
      <c r="U194" s="78"/>
      <c r="V194" s="78"/>
      <c r="W194" s="78"/>
      <c r="X194" s="78"/>
      <c r="Y194" s="78"/>
      <c r="Z194" s="78"/>
    </row>
    <row r="195" spans="1:26" ht="14.4">
      <c r="A195" s="91"/>
      <c r="B195" s="91"/>
      <c r="C195" s="89" t="s">
        <v>369</v>
      </c>
      <c r="D195" s="90" t="s">
        <v>371</v>
      </c>
      <c r="E195" s="89" t="s">
        <v>101</v>
      </c>
      <c r="F195" s="81"/>
      <c r="G195" s="78"/>
      <c r="H195" s="78"/>
      <c r="I195" s="78"/>
      <c r="J195" s="78"/>
      <c r="K195" s="78"/>
      <c r="L195" s="78"/>
      <c r="M195" s="78"/>
      <c r="N195" s="78"/>
      <c r="O195" s="78"/>
      <c r="P195" s="78"/>
      <c r="Q195" s="78"/>
      <c r="R195" s="78"/>
      <c r="S195" s="78"/>
      <c r="T195" s="78"/>
      <c r="U195" s="78"/>
      <c r="V195" s="78"/>
      <c r="W195" s="78"/>
      <c r="X195" s="78"/>
      <c r="Y195" s="78"/>
      <c r="Z195" s="78"/>
    </row>
    <row r="196" spans="1:26" ht="14.4">
      <c r="A196" s="91"/>
      <c r="B196" s="91"/>
      <c r="C196" s="89" t="s">
        <v>364</v>
      </c>
      <c r="D196" s="90" t="s">
        <v>410</v>
      </c>
      <c r="E196" s="89" t="s">
        <v>101</v>
      </c>
      <c r="F196" s="81"/>
      <c r="G196" s="78"/>
      <c r="H196" s="78"/>
      <c r="I196" s="78"/>
      <c r="J196" s="78"/>
      <c r="K196" s="78"/>
      <c r="L196" s="78"/>
      <c r="M196" s="78"/>
      <c r="N196" s="78"/>
      <c r="O196" s="78"/>
      <c r="P196" s="78"/>
      <c r="Q196" s="78"/>
      <c r="R196" s="78"/>
      <c r="S196" s="78"/>
      <c r="T196" s="78"/>
      <c r="U196" s="78"/>
      <c r="V196" s="78"/>
      <c r="W196" s="78"/>
      <c r="X196" s="78"/>
      <c r="Y196" s="78"/>
      <c r="Z196" s="78"/>
    </row>
    <row r="197" spans="1:26" ht="14.4">
      <c r="A197" s="91"/>
      <c r="B197" s="89" t="s">
        <v>444</v>
      </c>
      <c r="C197" s="89" t="s">
        <v>375</v>
      </c>
      <c r="D197" s="90" t="s">
        <v>445</v>
      </c>
      <c r="E197" s="89" t="s">
        <v>101</v>
      </c>
      <c r="F197" s="81"/>
      <c r="G197" s="78"/>
      <c r="H197" s="78"/>
      <c r="I197" s="78"/>
      <c r="J197" s="78"/>
      <c r="K197" s="78"/>
      <c r="L197" s="78"/>
      <c r="M197" s="78"/>
      <c r="N197" s="78"/>
      <c r="O197" s="78"/>
      <c r="P197" s="78"/>
      <c r="Q197" s="78"/>
      <c r="R197" s="78"/>
      <c r="S197" s="78"/>
      <c r="T197" s="78"/>
      <c r="U197" s="78"/>
      <c r="V197" s="78"/>
      <c r="W197" s="78"/>
      <c r="X197" s="78"/>
      <c r="Y197" s="78"/>
      <c r="Z197" s="78"/>
    </row>
    <row r="198" spans="1:26" ht="14.4">
      <c r="A198" s="91"/>
      <c r="B198" s="91"/>
      <c r="C198" s="89" t="s">
        <v>375</v>
      </c>
      <c r="D198" s="90" t="s">
        <v>446</v>
      </c>
      <c r="E198" s="89" t="s">
        <v>101</v>
      </c>
      <c r="F198" s="81"/>
      <c r="G198" s="78"/>
      <c r="H198" s="78"/>
      <c r="I198" s="78"/>
      <c r="J198" s="78"/>
      <c r="K198" s="78"/>
      <c r="L198" s="78"/>
      <c r="M198" s="78"/>
      <c r="N198" s="78"/>
      <c r="O198" s="78"/>
      <c r="P198" s="78"/>
      <c r="Q198" s="78"/>
      <c r="R198" s="78"/>
      <c r="S198" s="78"/>
      <c r="T198" s="78"/>
      <c r="U198" s="78"/>
      <c r="V198" s="78"/>
      <c r="W198" s="78"/>
      <c r="X198" s="78"/>
      <c r="Y198" s="78"/>
      <c r="Z198" s="78"/>
    </row>
    <row r="199" spans="1:26" ht="14.4">
      <c r="A199" s="91"/>
      <c r="B199" s="91"/>
      <c r="C199" s="89" t="s">
        <v>379</v>
      </c>
      <c r="D199" s="90" t="s">
        <v>447</v>
      </c>
      <c r="E199" s="89" t="s">
        <v>101</v>
      </c>
      <c r="F199" s="81"/>
      <c r="G199" s="78"/>
      <c r="H199" s="78"/>
      <c r="I199" s="78"/>
      <c r="J199" s="78"/>
      <c r="K199" s="78"/>
      <c r="L199" s="78"/>
      <c r="M199" s="78"/>
      <c r="N199" s="78"/>
      <c r="O199" s="78"/>
      <c r="P199" s="78"/>
      <c r="Q199" s="78"/>
      <c r="R199" s="78"/>
      <c r="S199" s="78"/>
      <c r="T199" s="78"/>
      <c r="U199" s="78"/>
      <c r="V199" s="78"/>
      <c r="W199" s="78"/>
      <c r="X199" s="78"/>
      <c r="Y199" s="78"/>
      <c r="Z199" s="78"/>
    </row>
    <row r="200" spans="1:26" ht="14.4">
      <c r="A200" s="91"/>
      <c r="B200" s="91"/>
      <c r="C200" s="89" t="s">
        <v>448</v>
      </c>
      <c r="D200" s="90" t="s">
        <v>449</v>
      </c>
      <c r="E200" s="89" t="s">
        <v>101</v>
      </c>
      <c r="F200" s="81"/>
      <c r="G200" s="78"/>
      <c r="H200" s="78"/>
      <c r="I200" s="78"/>
      <c r="J200" s="78"/>
      <c r="K200" s="78"/>
      <c r="L200" s="78"/>
      <c r="M200" s="78"/>
      <c r="N200" s="78"/>
      <c r="O200" s="78"/>
      <c r="P200" s="78"/>
      <c r="Q200" s="78"/>
      <c r="R200" s="78"/>
      <c r="S200" s="78"/>
      <c r="T200" s="78"/>
      <c r="U200" s="78"/>
      <c r="V200" s="78"/>
      <c r="W200" s="78"/>
      <c r="X200" s="78"/>
      <c r="Y200" s="78"/>
      <c r="Z200" s="78"/>
    </row>
    <row r="201" spans="1:26" ht="14.4">
      <c r="A201" s="91"/>
      <c r="B201" s="91"/>
      <c r="C201" s="89" t="s">
        <v>448</v>
      </c>
      <c r="D201" s="90" t="s">
        <v>450</v>
      </c>
      <c r="E201" s="89" t="s">
        <v>101</v>
      </c>
      <c r="F201" s="81"/>
      <c r="G201" s="78"/>
      <c r="H201" s="78"/>
      <c r="I201" s="78"/>
      <c r="J201" s="78"/>
      <c r="K201" s="78"/>
      <c r="L201" s="78"/>
      <c r="M201" s="78"/>
      <c r="N201" s="78"/>
      <c r="O201" s="78"/>
      <c r="P201" s="78"/>
      <c r="Q201" s="78"/>
      <c r="R201" s="78"/>
      <c r="S201" s="78"/>
      <c r="T201" s="78"/>
      <c r="U201" s="78"/>
      <c r="V201" s="78"/>
      <c r="W201" s="78"/>
      <c r="X201" s="78"/>
      <c r="Y201" s="78"/>
      <c r="Z201" s="78"/>
    </row>
    <row r="202" spans="1:26" ht="14.4">
      <c r="A202" s="91"/>
      <c r="B202" s="91"/>
      <c r="C202" s="89" t="s">
        <v>451</v>
      </c>
      <c r="D202" s="90" t="s">
        <v>452</v>
      </c>
      <c r="E202" s="89" t="s">
        <v>101</v>
      </c>
      <c r="F202" s="81"/>
      <c r="G202" s="78"/>
      <c r="H202" s="78"/>
      <c r="I202" s="78"/>
      <c r="J202" s="78"/>
      <c r="K202" s="78"/>
      <c r="L202" s="78"/>
      <c r="M202" s="78"/>
      <c r="N202" s="78"/>
      <c r="O202" s="78"/>
      <c r="P202" s="78"/>
      <c r="Q202" s="78"/>
      <c r="R202" s="78"/>
      <c r="S202" s="78"/>
      <c r="T202" s="78"/>
      <c r="U202" s="78"/>
      <c r="V202" s="78"/>
      <c r="W202" s="78"/>
      <c r="X202" s="78"/>
      <c r="Y202" s="78"/>
      <c r="Z202" s="78"/>
    </row>
    <row r="203" spans="1:26" ht="14.4">
      <c r="A203" s="91"/>
      <c r="B203" s="91"/>
      <c r="C203" s="89" t="s">
        <v>453</v>
      </c>
      <c r="D203" s="90" t="s">
        <v>454</v>
      </c>
      <c r="E203" s="89" t="s">
        <v>101</v>
      </c>
      <c r="F203" s="81"/>
      <c r="G203" s="78"/>
      <c r="H203" s="78"/>
      <c r="I203" s="78"/>
      <c r="J203" s="78"/>
      <c r="K203" s="78"/>
      <c r="L203" s="78"/>
      <c r="M203" s="78"/>
      <c r="N203" s="78"/>
      <c r="O203" s="78"/>
      <c r="P203" s="78"/>
      <c r="Q203" s="78"/>
      <c r="R203" s="78"/>
      <c r="S203" s="78"/>
      <c r="T203" s="78"/>
      <c r="U203" s="78"/>
      <c r="V203" s="78"/>
      <c r="W203" s="78"/>
      <c r="X203" s="78"/>
      <c r="Y203" s="78"/>
      <c r="Z203" s="78"/>
    </row>
    <row r="204" spans="1:26" ht="14.4">
      <c r="A204" s="91"/>
      <c r="B204" s="91"/>
      <c r="C204" s="89" t="s">
        <v>425</v>
      </c>
      <c r="D204" s="90" t="s">
        <v>455</v>
      </c>
      <c r="E204" s="89" t="s">
        <v>101</v>
      </c>
      <c r="F204" s="81"/>
      <c r="G204" s="78"/>
      <c r="H204" s="78"/>
      <c r="I204" s="78"/>
      <c r="J204" s="78"/>
      <c r="K204" s="78"/>
      <c r="L204" s="78"/>
      <c r="M204" s="78"/>
      <c r="N204" s="78"/>
      <c r="O204" s="78"/>
      <c r="P204" s="78"/>
      <c r="Q204" s="78"/>
      <c r="R204" s="78"/>
      <c r="S204" s="78"/>
      <c r="T204" s="78"/>
      <c r="U204" s="78"/>
      <c r="V204" s="78"/>
      <c r="W204" s="78"/>
      <c r="X204" s="78"/>
      <c r="Y204" s="78"/>
      <c r="Z204" s="78"/>
    </row>
    <row r="205" spans="1:26" ht="14.4">
      <c r="A205" s="91"/>
      <c r="B205" s="89" t="s">
        <v>456</v>
      </c>
      <c r="C205" s="89" t="s">
        <v>390</v>
      </c>
      <c r="D205" s="90" t="s">
        <v>457</v>
      </c>
      <c r="E205" s="89" t="s">
        <v>101</v>
      </c>
      <c r="F205" s="81"/>
      <c r="G205" s="78"/>
      <c r="H205" s="78"/>
      <c r="I205" s="78"/>
      <c r="J205" s="78"/>
      <c r="K205" s="78"/>
      <c r="L205" s="78"/>
      <c r="M205" s="78"/>
      <c r="N205" s="78"/>
      <c r="O205" s="78"/>
      <c r="P205" s="78"/>
      <c r="Q205" s="78"/>
      <c r="R205" s="78"/>
      <c r="S205" s="78"/>
      <c r="T205" s="78"/>
      <c r="U205" s="78"/>
      <c r="V205" s="78"/>
      <c r="W205" s="78"/>
      <c r="X205" s="78"/>
      <c r="Y205" s="78"/>
      <c r="Z205" s="78"/>
    </row>
    <row r="206" spans="1:26" ht="14.4">
      <c r="A206" s="91"/>
      <c r="B206" s="91"/>
      <c r="C206" s="89" t="s">
        <v>390</v>
      </c>
      <c r="D206" s="90" t="s">
        <v>458</v>
      </c>
      <c r="E206" s="89" t="s">
        <v>101</v>
      </c>
      <c r="F206" s="81"/>
      <c r="G206" s="78"/>
      <c r="H206" s="78"/>
      <c r="I206" s="78"/>
      <c r="J206" s="78"/>
      <c r="K206" s="78"/>
      <c r="L206" s="78"/>
      <c r="M206" s="78"/>
      <c r="N206" s="78"/>
      <c r="O206" s="78"/>
      <c r="P206" s="78"/>
      <c r="Q206" s="78"/>
      <c r="R206" s="78"/>
      <c r="S206" s="78"/>
      <c r="T206" s="78"/>
      <c r="U206" s="78"/>
      <c r="V206" s="78"/>
      <c r="W206" s="78"/>
      <c r="X206" s="78"/>
      <c r="Y206" s="78"/>
      <c r="Z206" s="78"/>
    </row>
    <row r="207" spans="1:26" ht="14.4">
      <c r="A207" s="91"/>
      <c r="B207" s="91"/>
      <c r="C207" s="89" t="s">
        <v>395</v>
      </c>
      <c r="D207" s="90" t="s">
        <v>459</v>
      </c>
      <c r="E207" s="89" t="s">
        <v>101</v>
      </c>
      <c r="F207" s="81"/>
      <c r="G207" s="78"/>
      <c r="H207" s="78"/>
      <c r="I207" s="78"/>
      <c r="J207" s="78"/>
      <c r="K207" s="78"/>
      <c r="L207" s="78"/>
      <c r="M207" s="78"/>
      <c r="N207" s="78"/>
      <c r="O207" s="78"/>
      <c r="P207" s="78"/>
      <c r="Q207" s="78"/>
      <c r="R207" s="78"/>
      <c r="S207" s="78"/>
      <c r="T207" s="78"/>
      <c r="U207" s="78"/>
      <c r="V207" s="78"/>
      <c r="W207" s="78"/>
      <c r="X207" s="78"/>
      <c r="Y207" s="78"/>
      <c r="Z207" s="78"/>
    </row>
    <row r="208" spans="1:26" ht="14.4">
      <c r="A208" s="91"/>
      <c r="B208" s="91"/>
      <c r="C208" s="89" t="s">
        <v>460</v>
      </c>
      <c r="D208" s="90" t="s">
        <v>461</v>
      </c>
      <c r="E208" s="89" t="s">
        <v>101</v>
      </c>
      <c r="F208" s="81"/>
      <c r="G208" s="78"/>
      <c r="H208" s="78"/>
      <c r="I208" s="78"/>
      <c r="J208" s="78"/>
      <c r="K208" s="78"/>
      <c r="L208" s="78"/>
      <c r="M208" s="78"/>
      <c r="N208" s="78"/>
      <c r="O208" s="78"/>
      <c r="P208" s="78"/>
      <c r="Q208" s="78"/>
      <c r="R208" s="78"/>
      <c r="S208" s="78"/>
      <c r="T208" s="78"/>
      <c r="U208" s="78"/>
      <c r="V208" s="78"/>
      <c r="W208" s="78"/>
      <c r="X208" s="78"/>
      <c r="Y208" s="78"/>
      <c r="Z208" s="78"/>
    </row>
    <row r="209" spans="1:26" ht="23.25" customHeight="1">
      <c r="A209" s="91"/>
      <c r="B209" s="91"/>
      <c r="C209" s="89" t="s">
        <v>460</v>
      </c>
      <c r="D209" s="90" t="s">
        <v>462</v>
      </c>
      <c r="E209" s="89" t="s">
        <v>101</v>
      </c>
      <c r="F209" s="81"/>
      <c r="G209" s="78"/>
      <c r="H209" s="78"/>
      <c r="I209" s="78"/>
      <c r="J209" s="78"/>
      <c r="K209" s="78"/>
      <c r="L209" s="78"/>
      <c r="M209" s="78"/>
      <c r="N209" s="78"/>
      <c r="O209" s="78"/>
      <c r="P209" s="78"/>
      <c r="Q209" s="78"/>
      <c r="R209" s="78"/>
      <c r="S209" s="78"/>
      <c r="T209" s="78"/>
      <c r="U209" s="78"/>
      <c r="V209" s="78"/>
      <c r="W209" s="78"/>
      <c r="X209" s="78"/>
      <c r="Y209" s="78"/>
      <c r="Z209" s="78"/>
    </row>
    <row r="210" spans="1:26" ht="27" customHeight="1">
      <c r="A210" s="92" t="s">
        <v>463</v>
      </c>
      <c r="B210" s="88" t="s">
        <v>464</v>
      </c>
      <c r="C210" s="88" t="s">
        <v>99</v>
      </c>
      <c r="D210" s="93" t="s">
        <v>465</v>
      </c>
      <c r="E210" s="88" t="s">
        <v>101</v>
      </c>
      <c r="F210" s="81"/>
      <c r="G210" s="78"/>
      <c r="H210" s="78"/>
      <c r="I210" s="78"/>
      <c r="J210" s="78"/>
      <c r="K210" s="78"/>
      <c r="L210" s="78"/>
      <c r="M210" s="78"/>
      <c r="N210" s="78"/>
      <c r="O210" s="78"/>
      <c r="P210" s="78"/>
      <c r="Q210" s="78"/>
      <c r="R210" s="78"/>
      <c r="S210" s="78"/>
      <c r="T210" s="78"/>
      <c r="U210" s="78"/>
      <c r="V210" s="78"/>
      <c r="W210" s="78"/>
      <c r="X210" s="78"/>
      <c r="Y210" s="78"/>
      <c r="Z210" s="78"/>
    </row>
    <row r="211" spans="1:26" ht="28.2">
      <c r="A211" s="94"/>
      <c r="B211" s="95"/>
      <c r="C211" s="96" t="s">
        <v>466</v>
      </c>
      <c r="D211" s="93" t="s">
        <v>467</v>
      </c>
      <c r="E211" s="88" t="s">
        <v>101</v>
      </c>
      <c r="F211" s="81"/>
      <c r="G211" s="78"/>
      <c r="H211" s="78"/>
      <c r="I211" s="78"/>
      <c r="J211" s="78"/>
      <c r="K211" s="78"/>
      <c r="L211" s="78"/>
      <c r="M211" s="78"/>
      <c r="N211" s="78"/>
      <c r="O211" s="78"/>
      <c r="P211" s="78"/>
      <c r="Q211" s="78"/>
      <c r="R211" s="78"/>
      <c r="S211" s="78"/>
      <c r="T211" s="78"/>
      <c r="U211" s="78"/>
      <c r="V211" s="78"/>
      <c r="W211" s="78"/>
      <c r="X211" s="78"/>
      <c r="Y211" s="78"/>
      <c r="Z211" s="78"/>
    </row>
    <row r="212" spans="1:26" ht="15.75" customHeight="1">
      <c r="A212" s="94"/>
      <c r="B212" s="95"/>
      <c r="C212" s="88" t="s">
        <v>468</v>
      </c>
      <c r="D212" s="93" t="s">
        <v>469</v>
      </c>
      <c r="E212" s="88" t="s">
        <v>101</v>
      </c>
      <c r="F212" s="81"/>
      <c r="G212" s="78"/>
      <c r="H212" s="78"/>
      <c r="I212" s="78"/>
      <c r="J212" s="78"/>
      <c r="K212" s="78"/>
      <c r="L212" s="78"/>
      <c r="M212" s="78"/>
      <c r="N212" s="78"/>
      <c r="O212" s="78"/>
      <c r="P212" s="78"/>
      <c r="Q212" s="78"/>
      <c r="R212" s="78"/>
      <c r="S212" s="78"/>
      <c r="T212" s="78"/>
      <c r="U212" s="78"/>
      <c r="V212" s="78"/>
      <c r="W212" s="78"/>
      <c r="X212" s="78"/>
      <c r="Y212" s="78"/>
      <c r="Z212" s="78"/>
    </row>
    <row r="213" spans="1:26" ht="15.75" customHeight="1">
      <c r="A213" s="94"/>
      <c r="B213" s="95"/>
      <c r="C213" s="88" t="s">
        <v>470</v>
      </c>
      <c r="D213" s="93" t="s">
        <v>471</v>
      </c>
      <c r="E213" s="88" t="s">
        <v>101</v>
      </c>
      <c r="F213" s="81"/>
      <c r="G213" s="78"/>
      <c r="H213" s="78"/>
      <c r="I213" s="78"/>
      <c r="J213" s="78"/>
      <c r="K213" s="78"/>
      <c r="L213" s="78"/>
      <c r="M213" s="78"/>
      <c r="N213" s="78"/>
      <c r="O213" s="78"/>
      <c r="P213" s="78"/>
      <c r="Q213" s="78"/>
      <c r="R213" s="78"/>
      <c r="S213" s="78"/>
      <c r="T213" s="78"/>
      <c r="U213" s="78"/>
      <c r="V213" s="78"/>
      <c r="W213" s="78"/>
      <c r="X213" s="78"/>
      <c r="Y213" s="78"/>
      <c r="Z213" s="78"/>
    </row>
    <row r="214" spans="1:26" ht="14.4">
      <c r="A214" s="94"/>
      <c r="B214" s="95"/>
      <c r="C214" s="88" t="s">
        <v>472</v>
      </c>
      <c r="D214" s="93" t="s">
        <v>473</v>
      </c>
      <c r="E214" s="88" t="s">
        <v>101</v>
      </c>
      <c r="F214" s="81"/>
      <c r="G214" s="78"/>
      <c r="H214" s="78"/>
      <c r="I214" s="78"/>
      <c r="J214" s="78"/>
      <c r="K214" s="78"/>
      <c r="L214" s="78"/>
      <c r="M214" s="78"/>
      <c r="N214" s="78"/>
      <c r="O214" s="78"/>
      <c r="P214" s="78"/>
      <c r="Q214" s="78"/>
      <c r="R214" s="78"/>
      <c r="S214" s="78"/>
      <c r="T214" s="78"/>
      <c r="U214" s="78"/>
      <c r="V214" s="78"/>
      <c r="W214" s="78"/>
      <c r="X214" s="78"/>
      <c r="Y214" s="78"/>
      <c r="Z214" s="78"/>
    </row>
    <row r="215" spans="1:26" ht="14.4">
      <c r="A215" s="94"/>
      <c r="B215" s="95"/>
      <c r="C215" s="88" t="s">
        <v>474</v>
      </c>
      <c r="D215" s="93" t="s">
        <v>475</v>
      </c>
      <c r="E215" s="88" t="s">
        <v>101</v>
      </c>
      <c r="F215" s="81"/>
      <c r="G215" s="78"/>
      <c r="H215" s="78"/>
      <c r="I215" s="78"/>
      <c r="J215" s="78"/>
      <c r="K215" s="78"/>
      <c r="L215" s="78"/>
      <c r="M215" s="78"/>
      <c r="N215" s="78"/>
      <c r="O215" s="78"/>
      <c r="P215" s="78"/>
      <c r="Q215" s="78"/>
      <c r="R215" s="78"/>
      <c r="S215" s="78"/>
      <c r="T215" s="78"/>
      <c r="U215" s="78"/>
      <c r="V215" s="78"/>
      <c r="W215" s="78"/>
      <c r="X215" s="78"/>
      <c r="Y215" s="78"/>
      <c r="Z215" s="78"/>
    </row>
    <row r="216" spans="1:26" ht="14.4">
      <c r="A216" s="94"/>
      <c r="B216" s="95"/>
      <c r="C216" s="88" t="s">
        <v>476</v>
      </c>
      <c r="D216" s="93" t="s">
        <v>477</v>
      </c>
      <c r="E216" s="88" t="s">
        <v>101</v>
      </c>
      <c r="F216" s="81"/>
      <c r="G216" s="78"/>
      <c r="H216" s="78"/>
      <c r="I216" s="78"/>
      <c r="J216" s="78"/>
      <c r="K216" s="78"/>
      <c r="L216" s="78"/>
      <c r="M216" s="78"/>
      <c r="N216" s="78"/>
      <c r="O216" s="78"/>
      <c r="P216" s="78"/>
      <c r="Q216" s="78"/>
      <c r="R216" s="78"/>
      <c r="S216" s="78"/>
      <c r="T216" s="78"/>
      <c r="U216" s="78"/>
      <c r="V216" s="78"/>
      <c r="W216" s="78"/>
      <c r="X216" s="78"/>
      <c r="Y216" s="78"/>
      <c r="Z216" s="78"/>
    </row>
    <row r="217" spans="1:26" ht="14.4">
      <c r="A217" s="94"/>
      <c r="B217" s="95"/>
      <c r="C217" s="88" t="s">
        <v>478</v>
      </c>
      <c r="D217" s="97" t="s">
        <v>479</v>
      </c>
      <c r="E217" s="88" t="s">
        <v>101</v>
      </c>
      <c r="F217" s="81"/>
      <c r="G217" s="78"/>
      <c r="H217" s="78"/>
      <c r="I217" s="78"/>
      <c r="J217" s="78"/>
      <c r="K217" s="78"/>
      <c r="L217" s="78"/>
      <c r="M217" s="78"/>
      <c r="N217" s="78"/>
      <c r="O217" s="78"/>
      <c r="P217" s="78"/>
      <c r="Q217" s="78"/>
      <c r="R217" s="78"/>
      <c r="S217" s="78"/>
      <c r="T217" s="78"/>
      <c r="U217" s="78"/>
      <c r="V217" s="78"/>
      <c r="W217" s="78"/>
      <c r="X217" s="78"/>
      <c r="Y217" s="78"/>
      <c r="Z217" s="78"/>
    </row>
    <row r="218" spans="1:26" ht="14.4">
      <c r="A218" s="94"/>
      <c r="B218" s="95"/>
      <c r="C218" s="88" t="s">
        <v>480</v>
      </c>
      <c r="D218" s="93" t="s">
        <v>481</v>
      </c>
      <c r="E218" s="88" t="s">
        <v>101</v>
      </c>
      <c r="F218" s="81"/>
      <c r="G218" s="78"/>
      <c r="H218" s="78"/>
      <c r="I218" s="78"/>
      <c r="J218" s="78"/>
      <c r="K218" s="78"/>
      <c r="L218" s="78"/>
      <c r="M218" s="78"/>
      <c r="N218" s="78"/>
      <c r="O218" s="78"/>
      <c r="P218" s="78"/>
      <c r="Q218" s="78"/>
      <c r="R218" s="78"/>
      <c r="S218" s="78"/>
      <c r="T218" s="78"/>
      <c r="U218" s="78"/>
      <c r="V218" s="78"/>
      <c r="W218" s="78"/>
      <c r="X218" s="78"/>
      <c r="Y218" s="78"/>
      <c r="Z218" s="78"/>
    </row>
    <row r="219" spans="1:26" ht="14.4">
      <c r="A219" s="94"/>
      <c r="B219" s="95"/>
      <c r="C219" s="88" t="s">
        <v>482</v>
      </c>
      <c r="D219" s="93" t="s">
        <v>483</v>
      </c>
      <c r="E219" s="88" t="s">
        <v>484</v>
      </c>
      <c r="F219" s="81"/>
      <c r="G219" s="78"/>
      <c r="H219" s="78"/>
      <c r="I219" s="78"/>
      <c r="J219" s="78"/>
      <c r="K219" s="78"/>
      <c r="L219" s="78"/>
      <c r="M219" s="78"/>
      <c r="N219" s="78"/>
      <c r="O219" s="78"/>
      <c r="P219" s="78"/>
      <c r="Q219" s="78"/>
      <c r="R219" s="78"/>
      <c r="S219" s="78"/>
      <c r="T219" s="78"/>
      <c r="U219" s="78"/>
      <c r="V219" s="78"/>
      <c r="W219" s="78"/>
      <c r="X219" s="78"/>
      <c r="Y219" s="78"/>
      <c r="Z219" s="78"/>
    </row>
    <row r="220" spans="1:26" ht="14.4">
      <c r="A220" s="94"/>
      <c r="B220" s="95"/>
      <c r="C220" s="88" t="s">
        <v>485</v>
      </c>
      <c r="D220" s="93" t="s">
        <v>486</v>
      </c>
      <c r="E220" s="88" t="s">
        <v>101</v>
      </c>
      <c r="F220" s="81"/>
      <c r="G220" s="78"/>
      <c r="H220" s="78"/>
      <c r="I220" s="78"/>
      <c r="J220" s="78"/>
      <c r="K220" s="78"/>
      <c r="L220" s="78"/>
      <c r="M220" s="78"/>
      <c r="N220" s="78"/>
      <c r="O220" s="78"/>
      <c r="P220" s="78"/>
      <c r="Q220" s="78"/>
      <c r="R220" s="78"/>
      <c r="S220" s="78"/>
      <c r="T220" s="78"/>
      <c r="U220" s="78"/>
      <c r="V220" s="78"/>
      <c r="W220" s="78"/>
      <c r="X220" s="78"/>
      <c r="Y220" s="78"/>
      <c r="Z220" s="78"/>
    </row>
    <row r="221" spans="1:26" ht="14.4">
      <c r="A221" s="94"/>
      <c r="B221" s="95"/>
      <c r="C221" s="88" t="s">
        <v>110</v>
      </c>
      <c r="D221" s="93" t="s">
        <v>111</v>
      </c>
      <c r="E221" s="88" t="s">
        <v>101</v>
      </c>
      <c r="F221" s="81"/>
      <c r="G221" s="78"/>
      <c r="H221" s="78"/>
      <c r="I221" s="78"/>
      <c r="J221" s="78"/>
      <c r="K221" s="78"/>
      <c r="L221" s="78"/>
      <c r="M221" s="78"/>
      <c r="N221" s="78"/>
      <c r="O221" s="78"/>
      <c r="P221" s="78"/>
      <c r="Q221" s="78"/>
      <c r="R221" s="78"/>
      <c r="S221" s="78"/>
      <c r="T221" s="78"/>
      <c r="U221" s="78"/>
      <c r="V221" s="78"/>
      <c r="W221" s="78"/>
      <c r="X221" s="78"/>
      <c r="Y221" s="78"/>
      <c r="Z221" s="78"/>
    </row>
    <row r="222" spans="1:26" ht="14.4">
      <c r="A222" s="94"/>
      <c r="B222" s="95"/>
      <c r="C222" s="88" t="s">
        <v>120</v>
      </c>
      <c r="D222" s="93" t="s">
        <v>487</v>
      </c>
      <c r="E222" s="88" t="s">
        <v>101</v>
      </c>
      <c r="F222" s="81"/>
      <c r="G222" s="78"/>
      <c r="H222" s="78"/>
      <c r="I222" s="78"/>
      <c r="J222" s="78"/>
      <c r="K222" s="78"/>
      <c r="L222" s="78"/>
      <c r="M222" s="78"/>
      <c r="N222" s="78"/>
      <c r="O222" s="78"/>
      <c r="P222" s="78"/>
      <c r="Q222" s="78"/>
      <c r="R222" s="78"/>
      <c r="S222" s="78"/>
      <c r="T222" s="78"/>
      <c r="U222" s="78"/>
      <c r="V222" s="78"/>
      <c r="W222" s="78"/>
      <c r="X222" s="78"/>
      <c r="Y222" s="78"/>
      <c r="Z222" s="78"/>
    </row>
    <row r="223" spans="1:26" ht="14.4">
      <c r="A223" s="94"/>
      <c r="B223" s="88" t="s">
        <v>488</v>
      </c>
      <c r="C223" s="88" t="s">
        <v>123</v>
      </c>
      <c r="D223" s="93" t="s">
        <v>489</v>
      </c>
      <c r="E223" s="88" t="s">
        <v>125</v>
      </c>
      <c r="F223" s="81"/>
      <c r="G223" s="78"/>
      <c r="H223" s="78"/>
      <c r="I223" s="78"/>
      <c r="J223" s="78"/>
      <c r="K223" s="78"/>
      <c r="L223" s="78"/>
      <c r="M223" s="78"/>
      <c r="N223" s="78"/>
      <c r="O223" s="78"/>
      <c r="P223" s="78"/>
      <c r="Q223" s="78"/>
      <c r="R223" s="78"/>
      <c r="S223" s="78"/>
      <c r="T223" s="78"/>
      <c r="U223" s="78"/>
      <c r="V223" s="78"/>
      <c r="W223" s="78"/>
      <c r="X223" s="78"/>
      <c r="Y223" s="78"/>
      <c r="Z223" s="78"/>
    </row>
    <row r="224" spans="1:26" ht="14.4">
      <c r="A224" s="94"/>
      <c r="B224" s="95"/>
      <c r="C224" s="88" t="s">
        <v>490</v>
      </c>
      <c r="D224" s="93" t="s">
        <v>491</v>
      </c>
      <c r="E224" s="88" t="s">
        <v>101</v>
      </c>
      <c r="F224" s="81"/>
      <c r="G224" s="78"/>
      <c r="H224" s="78"/>
      <c r="I224" s="78"/>
      <c r="J224" s="78"/>
      <c r="K224" s="78"/>
      <c r="L224" s="78"/>
      <c r="M224" s="78"/>
      <c r="N224" s="78"/>
      <c r="O224" s="78"/>
      <c r="P224" s="78"/>
      <c r="Q224" s="78"/>
      <c r="R224" s="78"/>
      <c r="S224" s="78"/>
      <c r="T224" s="78"/>
      <c r="U224" s="78"/>
      <c r="V224" s="78"/>
      <c r="W224" s="78"/>
      <c r="X224" s="78"/>
      <c r="Y224" s="78"/>
      <c r="Z224" s="78"/>
    </row>
    <row r="225" spans="1:26" ht="14.4">
      <c r="A225" s="94"/>
      <c r="B225" s="95"/>
      <c r="C225" s="88" t="s">
        <v>492</v>
      </c>
      <c r="D225" s="93" t="s">
        <v>493</v>
      </c>
      <c r="E225" s="88" t="s">
        <v>101</v>
      </c>
      <c r="F225" s="81"/>
      <c r="G225" s="78"/>
      <c r="H225" s="78"/>
      <c r="I225" s="78"/>
      <c r="J225" s="78"/>
      <c r="K225" s="78"/>
      <c r="L225" s="78"/>
      <c r="M225" s="78"/>
      <c r="N225" s="78"/>
      <c r="O225" s="78"/>
      <c r="P225" s="78"/>
      <c r="Q225" s="78"/>
      <c r="R225" s="78"/>
      <c r="S225" s="78"/>
      <c r="T225" s="78"/>
      <c r="U225" s="78"/>
      <c r="V225" s="78"/>
      <c r="W225" s="78"/>
      <c r="X225" s="78"/>
      <c r="Y225" s="78"/>
      <c r="Z225" s="78"/>
    </row>
    <row r="226" spans="1:26" ht="14.4">
      <c r="A226" s="94"/>
      <c r="B226" s="95"/>
      <c r="C226" s="88" t="s">
        <v>130</v>
      </c>
      <c r="D226" s="93" t="s">
        <v>494</v>
      </c>
      <c r="E226" s="88" t="s">
        <v>101</v>
      </c>
      <c r="F226" s="81"/>
      <c r="G226" s="78"/>
      <c r="H226" s="78"/>
      <c r="I226" s="78"/>
      <c r="J226" s="78"/>
      <c r="K226" s="78"/>
      <c r="L226" s="78"/>
      <c r="M226" s="78"/>
      <c r="N226" s="78"/>
      <c r="O226" s="78"/>
      <c r="P226" s="78"/>
      <c r="Q226" s="78"/>
      <c r="R226" s="78"/>
      <c r="S226" s="78"/>
      <c r="T226" s="78"/>
      <c r="U226" s="78"/>
      <c r="V226" s="78"/>
      <c r="W226" s="78"/>
      <c r="X226" s="78"/>
      <c r="Y226" s="78"/>
      <c r="Z226" s="78"/>
    </row>
    <row r="227" spans="1:26" ht="14.4">
      <c r="A227" s="94"/>
      <c r="B227" s="95"/>
      <c r="C227" s="88" t="s">
        <v>132</v>
      </c>
      <c r="D227" s="93" t="s">
        <v>495</v>
      </c>
      <c r="E227" s="88" t="s">
        <v>101</v>
      </c>
      <c r="F227" s="81"/>
      <c r="G227" s="78"/>
      <c r="H227" s="78"/>
      <c r="I227" s="78"/>
      <c r="J227" s="78"/>
      <c r="K227" s="78"/>
      <c r="L227" s="78"/>
      <c r="M227" s="78"/>
      <c r="N227" s="78"/>
      <c r="O227" s="78"/>
      <c r="P227" s="78"/>
      <c r="Q227" s="78"/>
      <c r="R227" s="78"/>
      <c r="S227" s="78"/>
      <c r="T227" s="78"/>
      <c r="U227" s="78"/>
      <c r="V227" s="78"/>
      <c r="W227" s="78"/>
      <c r="X227" s="78"/>
      <c r="Y227" s="78"/>
      <c r="Z227" s="78"/>
    </row>
    <row r="228" spans="1:26" ht="14.4">
      <c r="A228" s="94"/>
      <c r="B228" s="88" t="s">
        <v>496</v>
      </c>
      <c r="C228" s="88" t="s">
        <v>135</v>
      </c>
      <c r="D228" s="93" t="s">
        <v>497</v>
      </c>
      <c r="E228" s="88" t="s">
        <v>125</v>
      </c>
      <c r="F228" s="81"/>
      <c r="G228" s="78"/>
      <c r="H228" s="78"/>
      <c r="I228" s="78"/>
      <c r="J228" s="78"/>
      <c r="K228" s="78"/>
      <c r="L228" s="78"/>
      <c r="M228" s="78"/>
      <c r="N228" s="78"/>
      <c r="O228" s="78"/>
      <c r="P228" s="78"/>
      <c r="Q228" s="78"/>
      <c r="R228" s="78"/>
      <c r="S228" s="78"/>
      <c r="T228" s="78"/>
      <c r="U228" s="78"/>
      <c r="V228" s="78"/>
      <c r="W228" s="78"/>
      <c r="X228" s="78"/>
      <c r="Y228" s="78"/>
      <c r="Z228" s="78"/>
    </row>
    <row r="229" spans="1:26" ht="14.4">
      <c r="A229" s="94"/>
      <c r="B229" s="95"/>
      <c r="C229" s="88" t="s">
        <v>498</v>
      </c>
      <c r="D229" s="93" t="s">
        <v>499</v>
      </c>
      <c r="E229" s="88" t="s">
        <v>101</v>
      </c>
      <c r="F229" s="81"/>
      <c r="G229" s="78"/>
      <c r="H229" s="78"/>
      <c r="I229" s="78"/>
      <c r="J229" s="78"/>
      <c r="K229" s="78"/>
      <c r="L229" s="78"/>
      <c r="M229" s="78"/>
      <c r="N229" s="78"/>
      <c r="O229" s="78"/>
      <c r="P229" s="78"/>
      <c r="Q229" s="78"/>
      <c r="R229" s="78"/>
      <c r="S229" s="78"/>
      <c r="T229" s="78"/>
      <c r="U229" s="78"/>
      <c r="V229" s="78"/>
      <c r="W229" s="78"/>
      <c r="X229" s="78"/>
      <c r="Y229" s="78"/>
      <c r="Z229" s="78"/>
    </row>
    <row r="230" spans="1:26" ht="14.4">
      <c r="A230" s="94"/>
      <c r="B230" s="95"/>
      <c r="C230" s="88" t="s">
        <v>500</v>
      </c>
      <c r="D230" s="93" t="s">
        <v>501</v>
      </c>
      <c r="E230" s="88" t="s">
        <v>101</v>
      </c>
      <c r="F230" s="81"/>
      <c r="G230" s="78"/>
      <c r="H230" s="78"/>
      <c r="I230" s="78"/>
      <c r="J230" s="78"/>
      <c r="K230" s="78"/>
      <c r="L230" s="78"/>
      <c r="M230" s="78"/>
      <c r="N230" s="78"/>
      <c r="O230" s="78"/>
      <c r="P230" s="78"/>
      <c r="Q230" s="78"/>
      <c r="R230" s="78"/>
      <c r="S230" s="78"/>
      <c r="T230" s="78"/>
      <c r="U230" s="78"/>
      <c r="V230" s="78"/>
      <c r="W230" s="78"/>
      <c r="X230" s="78"/>
      <c r="Y230" s="78"/>
      <c r="Z230" s="78"/>
    </row>
    <row r="231" spans="1:26" ht="14.4">
      <c r="A231" s="94"/>
      <c r="B231" s="95"/>
      <c r="C231" s="88" t="s">
        <v>502</v>
      </c>
      <c r="D231" s="93" t="s">
        <v>503</v>
      </c>
      <c r="E231" s="88" t="s">
        <v>101</v>
      </c>
      <c r="F231" s="81"/>
      <c r="G231" s="78"/>
      <c r="H231" s="78"/>
      <c r="I231" s="78"/>
      <c r="J231" s="78"/>
      <c r="K231" s="78"/>
      <c r="L231" s="78"/>
      <c r="M231" s="78"/>
      <c r="N231" s="78"/>
      <c r="O231" s="78"/>
      <c r="P231" s="78"/>
      <c r="Q231" s="78"/>
      <c r="R231" s="78"/>
      <c r="S231" s="78"/>
      <c r="T231" s="78"/>
      <c r="U231" s="78"/>
      <c r="V231" s="78"/>
      <c r="W231" s="78"/>
      <c r="X231" s="78"/>
      <c r="Y231" s="78"/>
      <c r="Z231" s="78"/>
    </row>
    <row r="232" spans="1:26" ht="14.4">
      <c r="A232" s="94"/>
      <c r="B232" s="95"/>
      <c r="C232" s="88" t="s">
        <v>504</v>
      </c>
      <c r="D232" s="93" t="s">
        <v>505</v>
      </c>
      <c r="E232" s="88" t="s">
        <v>101</v>
      </c>
      <c r="F232" s="81"/>
      <c r="G232" s="78"/>
      <c r="H232" s="78"/>
      <c r="I232" s="78"/>
      <c r="J232" s="78"/>
      <c r="K232" s="78"/>
      <c r="L232" s="78"/>
      <c r="M232" s="78"/>
      <c r="N232" s="78"/>
      <c r="O232" s="78"/>
      <c r="P232" s="78"/>
      <c r="Q232" s="78"/>
      <c r="R232" s="78"/>
      <c r="S232" s="78"/>
      <c r="T232" s="78"/>
      <c r="U232" s="78"/>
      <c r="V232" s="78"/>
      <c r="W232" s="78"/>
      <c r="X232" s="78"/>
      <c r="Y232" s="78"/>
      <c r="Z232" s="78"/>
    </row>
    <row r="233" spans="1:26" ht="14.4">
      <c r="A233" s="94"/>
      <c r="B233" s="95"/>
      <c r="C233" s="88" t="s">
        <v>147</v>
      </c>
      <c r="D233" s="93" t="s">
        <v>506</v>
      </c>
      <c r="E233" s="88" t="s">
        <v>101</v>
      </c>
      <c r="F233" s="81"/>
      <c r="G233" s="78"/>
      <c r="H233" s="78"/>
      <c r="I233" s="78"/>
      <c r="J233" s="78"/>
      <c r="K233" s="78"/>
      <c r="L233" s="78"/>
      <c r="M233" s="78"/>
      <c r="N233" s="78"/>
      <c r="O233" s="78"/>
      <c r="P233" s="78"/>
      <c r="Q233" s="78"/>
      <c r="R233" s="78"/>
      <c r="S233" s="78"/>
      <c r="T233" s="78"/>
      <c r="U233" s="78"/>
      <c r="V233" s="78"/>
      <c r="W233" s="78"/>
      <c r="X233" s="78"/>
      <c r="Y233" s="78"/>
      <c r="Z233" s="78"/>
    </row>
    <row r="234" spans="1:26" ht="14.4">
      <c r="A234" s="94"/>
      <c r="B234" s="95"/>
      <c r="C234" s="88" t="s">
        <v>507</v>
      </c>
      <c r="D234" s="93" t="s">
        <v>508</v>
      </c>
      <c r="E234" s="88" t="s">
        <v>101</v>
      </c>
      <c r="F234" s="81"/>
      <c r="G234" s="78"/>
      <c r="H234" s="78"/>
      <c r="I234" s="78"/>
      <c r="J234" s="78"/>
      <c r="K234" s="78"/>
      <c r="L234" s="78"/>
      <c r="M234" s="78"/>
      <c r="N234" s="78"/>
      <c r="O234" s="78"/>
      <c r="P234" s="78"/>
      <c r="Q234" s="78"/>
      <c r="R234" s="78"/>
      <c r="S234" s="78"/>
      <c r="T234" s="78"/>
      <c r="U234" s="78"/>
      <c r="V234" s="78"/>
      <c r="W234" s="78"/>
      <c r="X234" s="78"/>
      <c r="Y234" s="78"/>
      <c r="Z234" s="78"/>
    </row>
    <row r="235" spans="1:26" ht="14.4">
      <c r="A235" s="94"/>
      <c r="B235" s="88" t="s">
        <v>509</v>
      </c>
      <c r="C235" s="88" t="s">
        <v>150</v>
      </c>
      <c r="D235" s="93" t="s">
        <v>510</v>
      </c>
      <c r="E235" s="88" t="s">
        <v>125</v>
      </c>
      <c r="F235" s="81"/>
      <c r="G235" s="78"/>
      <c r="H235" s="78"/>
      <c r="I235" s="78"/>
      <c r="J235" s="78"/>
      <c r="K235" s="78"/>
      <c r="L235" s="78"/>
      <c r="M235" s="78"/>
      <c r="N235" s="78"/>
      <c r="O235" s="78"/>
      <c r="P235" s="78"/>
      <c r="Q235" s="78"/>
      <c r="R235" s="78"/>
      <c r="S235" s="78"/>
      <c r="T235" s="78"/>
      <c r="U235" s="78"/>
      <c r="V235" s="78"/>
      <c r="W235" s="78"/>
      <c r="X235" s="78"/>
      <c r="Y235" s="78"/>
      <c r="Z235" s="78"/>
    </row>
    <row r="236" spans="1:26" ht="14.4">
      <c r="A236" s="94"/>
      <c r="B236" s="95"/>
      <c r="C236" s="88" t="s">
        <v>152</v>
      </c>
      <c r="D236" s="93" t="s">
        <v>511</v>
      </c>
      <c r="E236" s="88" t="s">
        <v>101</v>
      </c>
      <c r="F236" s="81"/>
      <c r="G236" s="78"/>
      <c r="H236" s="78"/>
      <c r="I236" s="78"/>
      <c r="J236" s="78"/>
      <c r="K236" s="78"/>
      <c r="L236" s="78"/>
      <c r="M236" s="78"/>
      <c r="N236" s="78"/>
      <c r="O236" s="78"/>
      <c r="P236" s="78"/>
      <c r="Q236" s="78"/>
      <c r="R236" s="78"/>
      <c r="S236" s="78"/>
      <c r="T236" s="78"/>
      <c r="U236" s="78"/>
      <c r="V236" s="78"/>
      <c r="W236" s="78"/>
      <c r="X236" s="78"/>
      <c r="Y236" s="78"/>
      <c r="Z236" s="78"/>
    </row>
    <row r="237" spans="1:26" ht="14.4">
      <c r="A237" s="94"/>
      <c r="B237" s="95"/>
      <c r="C237" s="88" t="s">
        <v>312</v>
      </c>
      <c r="D237" s="93" t="s">
        <v>512</v>
      </c>
      <c r="E237" s="88" t="s">
        <v>101</v>
      </c>
      <c r="F237" s="81"/>
      <c r="G237" s="78"/>
      <c r="H237" s="78"/>
      <c r="I237" s="78"/>
      <c r="J237" s="78"/>
      <c r="K237" s="78"/>
      <c r="L237" s="78"/>
      <c r="M237" s="78"/>
      <c r="N237" s="78"/>
      <c r="O237" s="78"/>
      <c r="P237" s="78"/>
      <c r="Q237" s="78"/>
      <c r="R237" s="78"/>
      <c r="S237" s="78"/>
      <c r="T237" s="78"/>
      <c r="U237" s="78"/>
      <c r="V237" s="78"/>
      <c r="W237" s="78"/>
      <c r="X237" s="78"/>
      <c r="Y237" s="78"/>
      <c r="Z237" s="78"/>
    </row>
    <row r="238" spans="1:26" ht="14.4">
      <c r="A238" s="94"/>
      <c r="B238" s="95"/>
      <c r="C238" s="88" t="s">
        <v>513</v>
      </c>
      <c r="D238" s="93" t="s">
        <v>514</v>
      </c>
      <c r="E238" s="88" t="s">
        <v>101</v>
      </c>
      <c r="F238" s="81"/>
      <c r="G238" s="78"/>
      <c r="H238" s="78"/>
      <c r="I238" s="78"/>
      <c r="J238" s="78"/>
      <c r="K238" s="78"/>
      <c r="L238" s="78"/>
      <c r="M238" s="78"/>
      <c r="N238" s="78"/>
      <c r="O238" s="78"/>
      <c r="P238" s="78"/>
      <c r="Q238" s="78"/>
      <c r="R238" s="78"/>
      <c r="S238" s="78"/>
      <c r="T238" s="78"/>
      <c r="U238" s="78"/>
      <c r="V238" s="78"/>
      <c r="W238" s="78"/>
      <c r="X238" s="78"/>
      <c r="Y238" s="78"/>
      <c r="Z238" s="78"/>
    </row>
    <row r="239" spans="1:26" ht="14.4">
      <c r="A239" s="94"/>
      <c r="B239" s="95"/>
      <c r="C239" s="88" t="s">
        <v>515</v>
      </c>
      <c r="D239" s="93" t="s">
        <v>516</v>
      </c>
      <c r="E239" s="88" t="s">
        <v>101</v>
      </c>
      <c r="F239" s="81"/>
      <c r="G239" s="78"/>
      <c r="H239" s="78"/>
      <c r="I239" s="78"/>
      <c r="J239" s="78"/>
      <c r="K239" s="78"/>
      <c r="L239" s="78"/>
      <c r="M239" s="78"/>
      <c r="N239" s="78"/>
      <c r="O239" s="78"/>
      <c r="P239" s="78"/>
      <c r="Q239" s="78"/>
      <c r="R239" s="78"/>
      <c r="S239" s="78"/>
      <c r="T239" s="78"/>
      <c r="U239" s="78"/>
      <c r="V239" s="78"/>
      <c r="W239" s="78"/>
      <c r="X239" s="78"/>
      <c r="Y239" s="78"/>
      <c r="Z239" s="78"/>
    </row>
    <row r="240" spans="1:26" ht="30" customHeight="1">
      <c r="A240" s="98" t="s">
        <v>517</v>
      </c>
      <c r="B240" s="98" t="s">
        <v>518</v>
      </c>
      <c r="C240" s="98" t="s">
        <v>268</v>
      </c>
      <c r="D240" s="98" t="s">
        <v>519</v>
      </c>
      <c r="E240" s="98" t="s">
        <v>125</v>
      </c>
      <c r="F240" s="81"/>
      <c r="G240" s="78"/>
      <c r="H240" s="78"/>
      <c r="I240" s="78"/>
      <c r="J240" s="78"/>
      <c r="K240" s="78"/>
      <c r="L240" s="78"/>
      <c r="M240" s="78"/>
      <c r="N240" s="78"/>
      <c r="O240" s="78"/>
      <c r="P240" s="78"/>
      <c r="Q240" s="78"/>
      <c r="R240" s="78"/>
      <c r="S240" s="78"/>
      <c r="T240" s="78"/>
      <c r="U240" s="78"/>
      <c r="V240" s="78"/>
      <c r="W240" s="78"/>
      <c r="X240" s="78"/>
      <c r="Y240" s="78"/>
      <c r="Z240" s="78"/>
    </row>
    <row r="241" spans="1:26" ht="20.25" customHeight="1">
      <c r="A241" s="99"/>
      <c r="B241" s="99"/>
      <c r="C241" s="98" t="s">
        <v>466</v>
      </c>
      <c r="D241" s="98" t="s">
        <v>520</v>
      </c>
      <c r="E241" s="98" t="s">
        <v>101</v>
      </c>
      <c r="F241" s="81"/>
      <c r="G241" s="78"/>
      <c r="H241" s="78"/>
      <c r="I241" s="78"/>
      <c r="J241" s="78"/>
      <c r="K241" s="78"/>
      <c r="L241" s="78"/>
      <c r="M241" s="78"/>
      <c r="N241" s="78"/>
      <c r="O241" s="78"/>
      <c r="P241" s="78"/>
      <c r="Q241" s="78"/>
      <c r="R241" s="78"/>
      <c r="S241" s="78"/>
      <c r="T241" s="78"/>
      <c r="U241" s="78"/>
      <c r="V241" s="78"/>
      <c r="W241" s="78"/>
      <c r="X241" s="78"/>
      <c r="Y241" s="78"/>
      <c r="Z241" s="78"/>
    </row>
    <row r="242" spans="1:26" ht="20.25" customHeight="1">
      <c r="A242" s="99"/>
      <c r="B242" s="99"/>
      <c r="C242" s="98" t="s">
        <v>99</v>
      </c>
      <c r="D242" s="98" t="s">
        <v>521</v>
      </c>
      <c r="E242" s="98" t="s">
        <v>101</v>
      </c>
      <c r="F242" s="81"/>
      <c r="G242" s="78"/>
      <c r="H242" s="78"/>
      <c r="I242" s="78"/>
      <c r="J242" s="78"/>
      <c r="K242" s="78"/>
      <c r="L242" s="78"/>
      <c r="M242" s="78"/>
      <c r="N242" s="78"/>
      <c r="O242" s="78"/>
      <c r="P242" s="78"/>
      <c r="Q242" s="78"/>
      <c r="R242" s="78"/>
      <c r="S242" s="78"/>
      <c r="T242" s="78"/>
      <c r="U242" s="78"/>
      <c r="V242" s="78"/>
      <c r="W242" s="78"/>
      <c r="X242" s="78"/>
      <c r="Y242" s="78"/>
      <c r="Z242" s="78"/>
    </row>
    <row r="243" spans="1:26" ht="21.75" customHeight="1">
      <c r="A243" s="99"/>
      <c r="B243" s="99"/>
      <c r="C243" s="98" t="s">
        <v>522</v>
      </c>
      <c r="D243" s="98" t="s">
        <v>523</v>
      </c>
      <c r="E243" s="98" t="s">
        <v>101</v>
      </c>
      <c r="F243" s="81"/>
      <c r="G243" s="78"/>
      <c r="H243" s="78"/>
      <c r="I243" s="78"/>
      <c r="J243" s="78"/>
      <c r="K243" s="78"/>
      <c r="L243" s="78"/>
      <c r="M243" s="78"/>
      <c r="N243" s="78"/>
      <c r="O243" s="78"/>
      <c r="P243" s="78"/>
      <c r="Q243" s="78"/>
      <c r="R243" s="78"/>
      <c r="S243" s="78"/>
      <c r="T243" s="78"/>
      <c r="U243" s="78"/>
      <c r="V243" s="78"/>
      <c r="W243" s="78"/>
      <c r="X243" s="78"/>
      <c r="Y243" s="78"/>
      <c r="Z243" s="78"/>
    </row>
    <row r="244" spans="1:26" ht="15" customHeight="1">
      <c r="A244" s="99"/>
      <c r="B244" s="99"/>
      <c r="C244" s="98" t="s">
        <v>524</v>
      </c>
      <c r="D244" s="98" t="s">
        <v>525</v>
      </c>
      <c r="E244" s="98" t="s">
        <v>101</v>
      </c>
      <c r="F244" s="81"/>
      <c r="G244" s="78"/>
      <c r="H244" s="78"/>
      <c r="I244" s="78"/>
      <c r="J244" s="78"/>
      <c r="K244" s="78"/>
      <c r="L244" s="78"/>
      <c r="M244" s="78"/>
      <c r="N244" s="78"/>
      <c r="O244" s="78"/>
      <c r="P244" s="78"/>
      <c r="Q244" s="78"/>
      <c r="R244" s="78"/>
      <c r="S244" s="78"/>
      <c r="T244" s="78"/>
      <c r="U244" s="78"/>
      <c r="V244" s="78"/>
      <c r="W244" s="78"/>
      <c r="X244" s="78"/>
      <c r="Y244" s="78"/>
      <c r="Z244" s="78"/>
    </row>
    <row r="245" spans="1:26" ht="41.25" customHeight="1">
      <c r="A245" s="99"/>
      <c r="B245" s="99"/>
      <c r="C245" s="98" t="s">
        <v>120</v>
      </c>
      <c r="D245" s="98" t="s">
        <v>526</v>
      </c>
      <c r="E245" s="98" t="s">
        <v>101</v>
      </c>
      <c r="F245" s="81"/>
      <c r="G245" s="78"/>
      <c r="H245" s="78"/>
      <c r="I245" s="78"/>
      <c r="J245" s="78"/>
      <c r="K245" s="78"/>
      <c r="L245" s="78"/>
      <c r="M245" s="78"/>
      <c r="N245" s="78"/>
      <c r="O245" s="78"/>
      <c r="P245" s="78"/>
      <c r="Q245" s="78"/>
      <c r="R245" s="78"/>
      <c r="S245" s="78"/>
      <c r="T245" s="78"/>
      <c r="U245" s="78"/>
      <c r="V245" s="78"/>
      <c r="W245" s="78"/>
      <c r="X245" s="78"/>
      <c r="Y245" s="78"/>
      <c r="Z245" s="78"/>
    </row>
    <row r="246" spans="1:26" ht="18.75" customHeight="1">
      <c r="A246" s="99"/>
      <c r="B246" s="99"/>
      <c r="C246" s="98" t="s">
        <v>527</v>
      </c>
      <c r="D246" s="98" t="s">
        <v>528</v>
      </c>
      <c r="E246" s="98" t="s">
        <v>101</v>
      </c>
      <c r="F246" s="81"/>
      <c r="G246" s="78"/>
      <c r="H246" s="78"/>
      <c r="I246" s="78"/>
      <c r="J246" s="78"/>
      <c r="K246" s="78"/>
      <c r="L246" s="78"/>
      <c r="M246" s="78"/>
      <c r="N246" s="78"/>
      <c r="O246" s="78"/>
      <c r="P246" s="78"/>
      <c r="Q246" s="78"/>
      <c r="R246" s="78"/>
      <c r="S246" s="78"/>
      <c r="T246" s="78"/>
      <c r="U246" s="78"/>
      <c r="V246" s="78"/>
      <c r="W246" s="78"/>
      <c r="X246" s="78"/>
      <c r="Y246" s="78"/>
      <c r="Z246" s="78"/>
    </row>
    <row r="247" spans="1:26" ht="21.75" customHeight="1">
      <c r="A247" s="99"/>
      <c r="B247" s="99"/>
      <c r="C247" s="98" t="s">
        <v>529</v>
      </c>
      <c r="D247" s="98" t="s">
        <v>530</v>
      </c>
      <c r="E247" s="98" t="s">
        <v>101</v>
      </c>
      <c r="F247" s="81"/>
      <c r="G247" s="78"/>
      <c r="H247" s="78"/>
      <c r="I247" s="78"/>
      <c r="J247" s="78"/>
      <c r="K247" s="78"/>
      <c r="L247" s="78"/>
      <c r="M247" s="78"/>
      <c r="N247" s="78"/>
      <c r="O247" s="78"/>
      <c r="P247" s="78"/>
      <c r="Q247" s="78"/>
      <c r="R247" s="78"/>
      <c r="S247" s="78"/>
      <c r="T247" s="78"/>
      <c r="U247" s="78"/>
      <c r="V247" s="78"/>
      <c r="W247" s="78"/>
      <c r="X247" s="78"/>
      <c r="Y247" s="78"/>
      <c r="Z247" s="78"/>
    </row>
    <row r="248" spans="1:26" ht="14.4">
      <c r="A248" s="99"/>
      <c r="B248" s="98" t="s">
        <v>531</v>
      </c>
      <c r="C248" s="98" t="s">
        <v>532</v>
      </c>
      <c r="D248" s="98" t="s">
        <v>533</v>
      </c>
      <c r="E248" s="98" t="s">
        <v>101</v>
      </c>
      <c r="F248" s="81"/>
      <c r="G248" s="78"/>
      <c r="H248" s="78"/>
      <c r="I248" s="78"/>
      <c r="J248" s="78"/>
      <c r="K248" s="78"/>
      <c r="L248" s="78"/>
      <c r="M248" s="78"/>
      <c r="N248" s="78"/>
      <c r="O248" s="78"/>
      <c r="P248" s="78"/>
      <c r="Q248" s="78"/>
      <c r="R248" s="78"/>
      <c r="S248" s="78"/>
      <c r="T248" s="78"/>
      <c r="U248" s="78"/>
      <c r="V248" s="78"/>
      <c r="W248" s="78"/>
      <c r="X248" s="78"/>
      <c r="Y248" s="78"/>
      <c r="Z248" s="78"/>
    </row>
    <row r="249" spans="1:26" ht="14.4">
      <c r="A249" s="99"/>
      <c r="B249" s="99"/>
      <c r="C249" s="98" t="s">
        <v>534</v>
      </c>
      <c r="D249" s="98" t="s">
        <v>535</v>
      </c>
      <c r="E249" s="98" t="s">
        <v>101</v>
      </c>
      <c r="F249" s="81"/>
      <c r="G249" s="78"/>
      <c r="H249" s="78"/>
      <c r="I249" s="78"/>
      <c r="J249" s="78"/>
      <c r="K249" s="78"/>
      <c r="L249" s="78"/>
      <c r="M249" s="78"/>
      <c r="N249" s="78"/>
      <c r="O249" s="78"/>
      <c r="P249" s="78"/>
      <c r="Q249" s="78"/>
      <c r="R249" s="78"/>
      <c r="S249" s="78"/>
      <c r="T249" s="78"/>
      <c r="U249" s="78"/>
      <c r="V249" s="78"/>
      <c r="W249" s="78"/>
      <c r="X249" s="78"/>
      <c r="Y249" s="78"/>
      <c r="Z249" s="78"/>
    </row>
    <row r="250" spans="1:26" ht="14.4">
      <c r="A250" s="99"/>
      <c r="B250" s="99"/>
      <c r="C250" s="98" t="s">
        <v>536</v>
      </c>
      <c r="D250" s="98" t="s">
        <v>537</v>
      </c>
      <c r="E250" s="98" t="s">
        <v>101</v>
      </c>
      <c r="F250" s="81"/>
      <c r="G250" s="78"/>
      <c r="H250" s="78"/>
      <c r="I250" s="78"/>
      <c r="J250" s="78"/>
      <c r="K250" s="78"/>
      <c r="L250" s="78"/>
      <c r="M250" s="78"/>
      <c r="N250" s="78"/>
      <c r="O250" s="78"/>
      <c r="P250" s="78"/>
      <c r="Q250" s="78"/>
      <c r="R250" s="78"/>
      <c r="S250" s="78"/>
      <c r="T250" s="78"/>
      <c r="U250" s="78"/>
      <c r="V250" s="78"/>
      <c r="W250" s="78"/>
      <c r="X250" s="78"/>
      <c r="Y250" s="78"/>
      <c r="Z250" s="78"/>
    </row>
    <row r="251" spans="1:26" ht="14.4">
      <c r="A251" s="99"/>
      <c r="B251" s="99"/>
      <c r="C251" s="98" t="s">
        <v>538</v>
      </c>
      <c r="D251" s="98" t="s">
        <v>539</v>
      </c>
      <c r="E251" s="98" t="s">
        <v>101</v>
      </c>
      <c r="F251" s="81"/>
      <c r="G251" s="78"/>
      <c r="H251" s="78"/>
      <c r="I251" s="78"/>
      <c r="J251" s="78"/>
      <c r="K251" s="78"/>
      <c r="L251" s="78"/>
      <c r="M251" s="78"/>
      <c r="N251" s="78"/>
      <c r="O251" s="78"/>
      <c r="P251" s="78"/>
      <c r="Q251" s="78"/>
      <c r="R251" s="78"/>
      <c r="S251" s="78"/>
      <c r="T251" s="78"/>
      <c r="U251" s="78"/>
      <c r="V251" s="78"/>
      <c r="W251" s="78"/>
      <c r="X251" s="78"/>
      <c r="Y251" s="78"/>
      <c r="Z251" s="78"/>
    </row>
    <row r="252" spans="1:26" ht="9" customHeight="1">
      <c r="A252" s="99"/>
      <c r="B252" s="98" t="s">
        <v>540</v>
      </c>
      <c r="C252" s="98" t="s">
        <v>541</v>
      </c>
      <c r="D252" s="98" t="s">
        <v>542</v>
      </c>
      <c r="E252" s="98" t="s">
        <v>125</v>
      </c>
      <c r="F252" s="81"/>
      <c r="G252" s="78"/>
      <c r="H252" s="78"/>
      <c r="I252" s="78"/>
      <c r="J252" s="78"/>
      <c r="K252" s="78"/>
      <c r="L252" s="78"/>
      <c r="M252" s="78"/>
      <c r="N252" s="78"/>
      <c r="O252" s="78"/>
      <c r="P252" s="78"/>
      <c r="Q252" s="78"/>
      <c r="R252" s="78"/>
      <c r="S252" s="78"/>
      <c r="T252" s="78"/>
      <c r="U252" s="78"/>
      <c r="V252" s="78"/>
      <c r="W252" s="78"/>
      <c r="X252" s="78"/>
      <c r="Y252" s="78"/>
      <c r="Z252" s="78"/>
    </row>
    <row r="253" spans="1:26" ht="14.4">
      <c r="A253" s="99"/>
      <c r="B253" s="99"/>
      <c r="C253" s="98" t="s">
        <v>466</v>
      </c>
      <c r="D253" s="98" t="s">
        <v>543</v>
      </c>
      <c r="E253" s="98" t="s">
        <v>101</v>
      </c>
      <c r="F253" s="81"/>
      <c r="G253" s="78"/>
      <c r="H253" s="78"/>
      <c r="I253" s="78"/>
      <c r="J253" s="78"/>
      <c r="K253" s="78"/>
      <c r="L253" s="78"/>
      <c r="M253" s="78"/>
      <c r="N253" s="78"/>
      <c r="O253" s="78"/>
      <c r="P253" s="78"/>
      <c r="Q253" s="78"/>
      <c r="R253" s="78"/>
      <c r="S253" s="78"/>
      <c r="T253" s="78"/>
      <c r="U253" s="78"/>
      <c r="V253" s="78"/>
      <c r="W253" s="78"/>
      <c r="X253" s="78"/>
      <c r="Y253" s="78"/>
      <c r="Z253" s="78"/>
    </row>
    <row r="254" spans="1:26" ht="9" customHeight="1">
      <c r="A254" s="99"/>
      <c r="B254" s="99"/>
      <c r="C254" s="98" t="s">
        <v>544</v>
      </c>
      <c r="D254" s="98" t="s">
        <v>545</v>
      </c>
      <c r="E254" s="98" t="s">
        <v>101</v>
      </c>
      <c r="F254" s="81"/>
      <c r="G254" s="78"/>
      <c r="H254" s="78"/>
      <c r="I254" s="78"/>
      <c r="J254" s="78"/>
      <c r="K254" s="78"/>
      <c r="L254" s="78"/>
      <c r="M254" s="78"/>
      <c r="N254" s="78"/>
      <c r="O254" s="78"/>
      <c r="P254" s="78"/>
      <c r="Q254" s="78"/>
      <c r="R254" s="78"/>
      <c r="S254" s="78"/>
      <c r="T254" s="78"/>
      <c r="U254" s="78"/>
      <c r="V254" s="78"/>
      <c r="W254" s="78"/>
      <c r="X254" s="78"/>
      <c r="Y254" s="78"/>
      <c r="Z254" s="78"/>
    </row>
    <row r="255" spans="1:26" ht="15.75" customHeight="1">
      <c r="A255" s="99"/>
      <c r="B255" s="99"/>
      <c r="C255" s="98" t="s">
        <v>546</v>
      </c>
      <c r="D255" s="98" t="s">
        <v>547</v>
      </c>
      <c r="E255" s="98" t="s">
        <v>101</v>
      </c>
      <c r="F255" s="81"/>
      <c r="G255" s="78"/>
      <c r="H255" s="78"/>
      <c r="I255" s="78"/>
      <c r="J255" s="78"/>
      <c r="K255" s="78"/>
      <c r="L255" s="78"/>
      <c r="M255" s="78"/>
      <c r="N255" s="78"/>
      <c r="O255" s="78"/>
      <c r="P255" s="78"/>
      <c r="Q255" s="78"/>
      <c r="R255" s="78"/>
      <c r="S255" s="78"/>
      <c r="T255" s="78"/>
      <c r="U255" s="78"/>
      <c r="V255" s="78"/>
      <c r="W255" s="78"/>
      <c r="X255" s="78"/>
      <c r="Y255" s="78"/>
      <c r="Z255" s="78"/>
    </row>
    <row r="257" spans="1:26" ht="9" customHeight="1">
      <c r="A257" s="100"/>
      <c r="B257" s="98" t="s">
        <v>548</v>
      </c>
      <c r="C257" s="98" t="s">
        <v>549</v>
      </c>
      <c r="D257" s="98" t="s">
        <v>550</v>
      </c>
      <c r="E257" s="98" t="s">
        <v>101</v>
      </c>
      <c r="F257" s="81"/>
      <c r="G257" s="78"/>
      <c r="H257" s="78"/>
      <c r="I257" s="78"/>
      <c r="J257" s="78"/>
      <c r="K257" s="78"/>
      <c r="L257" s="78"/>
      <c r="M257" s="78"/>
      <c r="N257" s="78"/>
      <c r="O257" s="78"/>
      <c r="P257" s="78"/>
      <c r="Q257" s="78"/>
      <c r="R257" s="78"/>
      <c r="S257" s="78"/>
      <c r="T257" s="78"/>
      <c r="U257" s="78"/>
      <c r="V257" s="78"/>
      <c r="W257" s="78"/>
      <c r="X257" s="78"/>
      <c r="Y257" s="78"/>
      <c r="Z257" s="78"/>
    </row>
    <row r="258" spans="1:26" ht="9" customHeight="1">
      <c r="A258" s="100"/>
      <c r="B258" s="100"/>
      <c r="C258" s="98" t="s">
        <v>551</v>
      </c>
      <c r="D258" s="98" t="s">
        <v>552</v>
      </c>
      <c r="E258" s="98" t="s">
        <v>101</v>
      </c>
      <c r="F258" s="81"/>
      <c r="G258" s="78"/>
      <c r="H258" s="78"/>
      <c r="I258" s="78"/>
      <c r="J258" s="78"/>
      <c r="K258" s="78"/>
      <c r="L258" s="78"/>
      <c r="M258" s="78"/>
      <c r="N258" s="78"/>
      <c r="O258" s="78"/>
      <c r="P258" s="78"/>
      <c r="Q258" s="78"/>
      <c r="R258" s="78"/>
      <c r="S258" s="78"/>
      <c r="T258" s="78"/>
      <c r="U258" s="78"/>
      <c r="V258" s="78"/>
      <c r="W258" s="78"/>
      <c r="X258" s="78"/>
      <c r="Y258" s="78"/>
      <c r="Z258" s="78"/>
    </row>
    <row r="259" spans="1:26" ht="9" customHeight="1">
      <c r="A259" s="100"/>
      <c r="B259" s="100"/>
      <c r="C259" s="98" t="s">
        <v>553</v>
      </c>
      <c r="D259" s="98" t="s">
        <v>554</v>
      </c>
      <c r="E259" s="98" t="s">
        <v>101</v>
      </c>
      <c r="F259" s="81"/>
      <c r="G259" s="78"/>
      <c r="H259" s="78"/>
      <c r="I259" s="78"/>
      <c r="J259" s="78"/>
      <c r="K259" s="78"/>
      <c r="L259" s="78"/>
      <c r="M259" s="78"/>
      <c r="N259" s="78"/>
      <c r="O259" s="78"/>
      <c r="P259" s="78"/>
      <c r="Q259" s="78"/>
      <c r="R259" s="78"/>
      <c r="S259" s="78"/>
      <c r="T259" s="78"/>
      <c r="U259" s="78"/>
      <c r="V259" s="78"/>
      <c r="W259" s="78"/>
      <c r="X259" s="78"/>
      <c r="Y259" s="78"/>
      <c r="Z259" s="78"/>
    </row>
    <row r="260" spans="1:26" ht="15.75" customHeight="1">
      <c r="A260" s="100"/>
      <c r="B260" s="100"/>
      <c r="C260" s="98" t="s">
        <v>555</v>
      </c>
      <c r="D260" s="98" t="s">
        <v>556</v>
      </c>
      <c r="E260" s="98" t="s">
        <v>101</v>
      </c>
      <c r="F260" s="81"/>
      <c r="G260" s="78"/>
      <c r="H260" s="78"/>
      <c r="I260" s="78"/>
      <c r="J260" s="78"/>
      <c r="K260" s="78"/>
      <c r="L260" s="78"/>
      <c r="M260" s="78"/>
      <c r="N260" s="78"/>
      <c r="O260" s="78"/>
      <c r="P260" s="78"/>
      <c r="Q260" s="78"/>
      <c r="R260" s="78"/>
      <c r="S260" s="78"/>
      <c r="T260" s="78"/>
      <c r="U260" s="78"/>
      <c r="V260" s="78"/>
      <c r="W260" s="78"/>
      <c r="X260" s="78"/>
      <c r="Y260" s="78"/>
      <c r="Z260" s="78"/>
    </row>
    <row r="261" spans="1:26" ht="15.75" customHeight="1">
      <c r="A261" s="100"/>
      <c r="B261" s="100"/>
      <c r="C261" s="98" t="s">
        <v>557</v>
      </c>
      <c r="D261" s="98" t="s">
        <v>558</v>
      </c>
      <c r="E261" s="98" t="s">
        <v>101</v>
      </c>
      <c r="F261" s="81"/>
      <c r="G261" s="78"/>
      <c r="H261" s="78"/>
      <c r="I261" s="78"/>
      <c r="J261" s="78"/>
      <c r="K261" s="78"/>
      <c r="L261" s="78"/>
      <c r="M261" s="78"/>
      <c r="N261" s="78"/>
      <c r="O261" s="78"/>
      <c r="P261" s="78"/>
      <c r="Q261" s="78"/>
      <c r="R261" s="78"/>
      <c r="S261" s="78"/>
      <c r="T261" s="78"/>
      <c r="U261" s="78"/>
      <c r="V261" s="78"/>
      <c r="W261" s="78"/>
      <c r="X261" s="78"/>
      <c r="Y261" s="78"/>
      <c r="Z261" s="78"/>
    </row>
    <row r="262" spans="1:26" ht="9" customHeight="1">
      <c r="A262" s="100"/>
      <c r="B262" s="98" t="s">
        <v>559</v>
      </c>
      <c r="C262" s="98" t="s">
        <v>560</v>
      </c>
      <c r="D262" s="98" t="s">
        <v>561</v>
      </c>
      <c r="E262" s="98" t="s">
        <v>101</v>
      </c>
      <c r="F262" s="81"/>
      <c r="G262" s="78"/>
      <c r="H262" s="78"/>
      <c r="I262" s="78"/>
      <c r="J262" s="78"/>
      <c r="K262" s="78"/>
      <c r="L262" s="78"/>
      <c r="M262" s="78"/>
      <c r="N262" s="78"/>
      <c r="O262" s="78"/>
      <c r="P262" s="78"/>
      <c r="Q262" s="78"/>
      <c r="R262" s="78"/>
      <c r="S262" s="78"/>
      <c r="T262" s="78"/>
      <c r="U262" s="78"/>
      <c r="V262" s="78"/>
      <c r="W262" s="78"/>
      <c r="X262" s="78"/>
      <c r="Y262" s="78"/>
      <c r="Z262" s="78"/>
    </row>
    <row r="263" spans="1:26" ht="17.25" customHeight="1">
      <c r="A263" s="100"/>
      <c r="B263" s="100"/>
      <c r="C263" s="98" t="s">
        <v>562</v>
      </c>
      <c r="D263" s="98" t="s">
        <v>563</v>
      </c>
      <c r="E263" s="98" t="s">
        <v>101</v>
      </c>
      <c r="F263" s="81"/>
      <c r="G263" s="78"/>
      <c r="H263" s="78"/>
      <c r="I263" s="78"/>
      <c r="J263" s="78"/>
      <c r="K263" s="78"/>
      <c r="L263" s="78"/>
      <c r="M263" s="78"/>
      <c r="N263" s="78"/>
      <c r="O263" s="78"/>
      <c r="P263" s="78"/>
      <c r="Q263" s="78"/>
      <c r="R263" s="78"/>
      <c r="S263" s="78"/>
      <c r="T263" s="78"/>
      <c r="U263" s="78"/>
      <c r="V263" s="78"/>
      <c r="W263" s="78"/>
      <c r="X263" s="78"/>
      <c r="Y263" s="78"/>
      <c r="Z263" s="78"/>
    </row>
    <row r="264" spans="1:26" ht="16.5" customHeight="1">
      <c r="A264" s="100"/>
      <c r="B264" s="98" t="s">
        <v>564</v>
      </c>
      <c r="C264" s="98" t="s">
        <v>565</v>
      </c>
      <c r="D264" s="98" t="s">
        <v>566</v>
      </c>
      <c r="E264" s="98" t="s">
        <v>101</v>
      </c>
      <c r="F264" s="81"/>
      <c r="G264" s="78"/>
      <c r="H264" s="78"/>
      <c r="I264" s="78"/>
      <c r="J264" s="78"/>
      <c r="K264" s="78"/>
      <c r="L264" s="78"/>
      <c r="M264" s="78"/>
      <c r="N264" s="78"/>
      <c r="O264" s="78"/>
      <c r="P264" s="78"/>
      <c r="Q264" s="78"/>
      <c r="R264" s="78"/>
      <c r="S264" s="78"/>
      <c r="T264" s="78"/>
      <c r="U264" s="78"/>
      <c r="V264" s="78"/>
      <c r="W264" s="78"/>
      <c r="X264" s="78"/>
      <c r="Y264" s="78"/>
      <c r="Z264" s="78"/>
    </row>
    <row r="265" spans="1:26" ht="17.25" customHeight="1">
      <c r="A265" s="100"/>
      <c r="B265" s="100"/>
      <c r="C265" s="98" t="s">
        <v>567</v>
      </c>
      <c r="D265" s="98" t="s">
        <v>568</v>
      </c>
      <c r="E265" s="98" t="s">
        <v>101</v>
      </c>
      <c r="F265" s="81"/>
      <c r="G265" s="78"/>
      <c r="H265" s="78"/>
      <c r="I265" s="78"/>
      <c r="J265" s="78"/>
      <c r="K265" s="78"/>
      <c r="L265" s="78"/>
      <c r="M265" s="78"/>
      <c r="N265" s="78"/>
      <c r="O265" s="78"/>
      <c r="P265" s="78"/>
      <c r="Q265" s="78"/>
      <c r="R265" s="78"/>
      <c r="S265" s="78"/>
      <c r="T265" s="78"/>
      <c r="U265" s="78"/>
      <c r="V265" s="78"/>
      <c r="W265" s="78"/>
      <c r="X265" s="78"/>
      <c r="Y265" s="78"/>
      <c r="Z265" s="78"/>
    </row>
    <row r="266" spans="1:26" ht="17.25" customHeight="1">
      <c r="A266" s="100"/>
      <c r="B266" s="100"/>
      <c r="C266" s="98" t="s">
        <v>569</v>
      </c>
      <c r="D266" s="98" t="s">
        <v>570</v>
      </c>
      <c r="E266" s="98" t="s">
        <v>101</v>
      </c>
      <c r="F266" s="81"/>
      <c r="G266" s="78"/>
      <c r="H266" s="78"/>
      <c r="I266" s="78"/>
      <c r="J266" s="78"/>
      <c r="K266" s="78"/>
      <c r="L266" s="78"/>
      <c r="M266" s="78"/>
      <c r="N266" s="78"/>
      <c r="O266" s="78"/>
      <c r="P266" s="78"/>
      <c r="Q266" s="78"/>
      <c r="R266" s="78"/>
      <c r="S266" s="78"/>
      <c r="T266" s="78"/>
      <c r="U266" s="78"/>
      <c r="V266" s="78"/>
      <c r="W266" s="78"/>
      <c r="X266" s="78"/>
      <c r="Y266" s="78"/>
      <c r="Z266" s="78"/>
    </row>
    <row r="267" spans="1:26" ht="25.5" customHeight="1">
      <c r="A267" s="100"/>
      <c r="B267" s="100"/>
      <c r="C267" s="98" t="s">
        <v>571</v>
      </c>
      <c r="D267" s="98" t="s">
        <v>572</v>
      </c>
      <c r="E267" s="98" t="s">
        <v>101</v>
      </c>
      <c r="F267" s="81"/>
      <c r="G267" s="78"/>
      <c r="H267" s="78"/>
      <c r="I267" s="78"/>
      <c r="J267" s="78"/>
      <c r="K267" s="78"/>
      <c r="L267" s="78"/>
      <c r="M267" s="78"/>
      <c r="N267" s="78"/>
      <c r="O267" s="78"/>
      <c r="P267" s="78"/>
      <c r="Q267" s="78"/>
      <c r="R267" s="78"/>
      <c r="S267" s="78"/>
      <c r="T267" s="78"/>
      <c r="U267" s="78"/>
      <c r="V267" s="78"/>
      <c r="W267" s="78"/>
      <c r="X267" s="78"/>
      <c r="Y267" s="78"/>
      <c r="Z267" s="78"/>
    </row>
    <row r="268" spans="1:26" ht="33.75" customHeight="1">
      <c r="A268" s="100"/>
      <c r="B268" s="100"/>
      <c r="C268" s="98" t="s">
        <v>573</v>
      </c>
      <c r="D268" s="98" t="s">
        <v>574</v>
      </c>
      <c r="E268" s="98" t="s">
        <v>101</v>
      </c>
      <c r="F268" s="81"/>
      <c r="G268" s="78"/>
      <c r="H268" s="78"/>
      <c r="I268" s="78"/>
      <c r="J268" s="78"/>
      <c r="K268" s="78"/>
      <c r="L268" s="78"/>
      <c r="M268" s="78"/>
      <c r="N268" s="78"/>
      <c r="O268" s="78"/>
      <c r="P268" s="78"/>
      <c r="Q268" s="78"/>
      <c r="R268" s="78"/>
      <c r="S268" s="78"/>
      <c r="T268" s="78"/>
      <c r="U268" s="78"/>
      <c r="V268" s="78"/>
      <c r="W268" s="78"/>
      <c r="X268" s="78"/>
      <c r="Y268" s="78"/>
      <c r="Z268" s="78"/>
    </row>
    <row r="269" spans="1:26" ht="9" customHeight="1">
      <c r="A269" s="82"/>
      <c r="B269" s="82"/>
      <c r="C269" s="82"/>
      <c r="D269" s="81"/>
      <c r="E269" s="81"/>
      <c r="F269" s="81"/>
      <c r="G269" s="78"/>
      <c r="H269" s="78"/>
      <c r="I269" s="78"/>
      <c r="J269" s="78"/>
      <c r="K269" s="78"/>
      <c r="L269" s="78"/>
      <c r="M269" s="78"/>
      <c r="N269" s="78"/>
      <c r="O269" s="78"/>
      <c r="P269" s="78"/>
      <c r="Q269" s="78"/>
      <c r="R269" s="78"/>
      <c r="S269" s="78"/>
      <c r="T269" s="78"/>
      <c r="U269" s="78"/>
      <c r="V269" s="78"/>
      <c r="W269" s="78"/>
      <c r="X269" s="78"/>
      <c r="Y269" s="78"/>
      <c r="Z269" s="78"/>
    </row>
    <row r="270" spans="1:26" ht="9" customHeight="1">
      <c r="A270" s="82"/>
      <c r="B270" s="82"/>
      <c r="C270" s="85"/>
      <c r="D270" s="81"/>
      <c r="E270" s="81"/>
      <c r="F270" s="81"/>
      <c r="G270" s="78"/>
      <c r="H270" s="78"/>
      <c r="I270" s="78"/>
      <c r="J270" s="78"/>
      <c r="K270" s="78"/>
      <c r="L270" s="78"/>
      <c r="M270" s="78"/>
      <c r="N270" s="78"/>
      <c r="O270" s="78"/>
      <c r="P270" s="78"/>
      <c r="Q270" s="78"/>
      <c r="R270" s="78"/>
      <c r="S270" s="78"/>
      <c r="T270" s="78"/>
      <c r="U270" s="78"/>
      <c r="V270" s="78"/>
      <c r="W270" s="78"/>
      <c r="X270" s="78"/>
      <c r="Y270" s="78"/>
      <c r="Z270" s="78"/>
    </row>
    <row r="271" spans="1:26" ht="9" customHeight="1">
      <c r="A271" s="82"/>
      <c r="B271" s="82"/>
      <c r="C271" s="86"/>
      <c r="D271" s="81"/>
      <c r="E271" s="81"/>
      <c r="F271" s="81"/>
      <c r="G271" s="78"/>
      <c r="H271" s="78"/>
      <c r="I271" s="78"/>
      <c r="J271" s="78"/>
      <c r="K271" s="78"/>
      <c r="L271" s="78"/>
      <c r="M271" s="78"/>
      <c r="N271" s="78"/>
      <c r="O271" s="78"/>
      <c r="P271" s="78"/>
      <c r="Q271" s="78"/>
      <c r="R271" s="78"/>
      <c r="S271" s="78"/>
      <c r="T271" s="78"/>
      <c r="U271" s="78"/>
      <c r="V271" s="78"/>
      <c r="W271" s="78"/>
      <c r="X271" s="78"/>
      <c r="Y271" s="78"/>
      <c r="Z271" s="78"/>
    </row>
    <row r="272" spans="1:26" ht="9" customHeight="1">
      <c r="A272" s="82"/>
      <c r="B272" s="82"/>
      <c r="C272" s="82"/>
      <c r="D272" s="81"/>
      <c r="E272" s="81"/>
      <c r="F272" s="81"/>
      <c r="G272" s="78"/>
      <c r="H272" s="78"/>
      <c r="I272" s="78"/>
      <c r="J272" s="78"/>
      <c r="K272" s="78"/>
      <c r="L272" s="78"/>
      <c r="M272" s="78"/>
      <c r="N272" s="78"/>
      <c r="O272" s="78"/>
      <c r="P272" s="78"/>
      <c r="Q272" s="78"/>
      <c r="R272" s="78"/>
      <c r="S272" s="78"/>
      <c r="T272" s="78"/>
      <c r="U272" s="78"/>
      <c r="V272" s="78"/>
      <c r="W272" s="78"/>
      <c r="X272" s="78"/>
      <c r="Y272" s="78"/>
      <c r="Z272" s="78"/>
    </row>
    <row r="273" spans="1:26" ht="9" customHeight="1">
      <c r="A273" s="82"/>
      <c r="B273" s="82"/>
      <c r="C273" s="82"/>
      <c r="D273" s="81"/>
      <c r="E273" s="81"/>
      <c r="F273" s="81"/>
      <c r="G273" s="78"/>
      <c r="H273" s="78"/>
      <c r="I273" s="78"/>
      <c r="J273" s="78"/>
      <c r="K273" s="78"/>
      <c r="L273" s="78"/>
      <c r="M273" s="78"/>
      <c r="N273" s="78"/>
      <c r="O273" s="78"/>
      <c r="P273" s="78"/>
      <c r="Q273" s="78"/>
      <c r="R273" s="78"/>
      <c r="S273" s="78"/>
      <c r="T273" s="78"/>
      <c r="U273" s="78"/>
      <c r="V273" s="78"/>
      <c r="W273" s="78"/>
      <c r="X273" s="78"/>
      <c r="Y273" s="78"/>
      <c r="Z273" s="78"/>
    </row>
    <row r="274" spans="1:26" ht="9" customHeight="1">
      <c r="A274" s="82"/>
      <c r="B274" s="82"/>
      <c r="C274" s="82"/>
      <c r="D274" s="81"/>
      <c r="E274" s="81"/>
      <c r="F274" s="81"/>
      <c r="G274" s="78"/>
      <c r="H274" s="78"/>
      <c r="I274" s="78"/>
      <c r="J274" s="78"/>
      <c r="K274" s="78"/>
      <c r="L274" s="78"/>
      <c r="M274" s="78"/>
      <c r="N274" s="78"/>
      <c r="O274" s="78"/>
      <c r="P274" s="78"/>
      <c r="Q274" s="78"/>
      <c r="R274" s="78"/>
      <c r="S274" s="78"/>
      <c r="T274" s="78"/>
      <c r="U274" s="78"/>
      <c r="V274" s="78"/>
      <c r="W274" s="78"/>
      <c r="X274" s="78"/>
      <c r="Y274" s="78"/>
      <c r="Z274" s="78"/>
    </row>
    <row r="275" spans="1:26" ht="9" customHeight="1">
      <c r="A275" s="82"/>
      <c r="B275" s="82"/>
      <c r="C275" s="82"/>
      <c r="D275" s="81"/>
      <c r="E275" s="81"/>
      <c r="F275" s="81"/>
      <c r="G275" s="78"/>
      <c r="H275" s="78"/>
      <c r="I275" s="78"/>
      <c r="J275" s="78"/>
      <c r="K275" s="78"/>
      <c r="L275" s="78"/>
      <c r="M275" s="78"/>
      <c r="N275" s="78"/>
      <c r="O275" s="78"/>
      <c r="P275" s="78"/>
      <c r="Q275" s="78"/>
      <c r="R275" s="78"/>
      <c r="S275" s="78"/>
      <c r="T275" s="78"/>
      <c r="U275" s="78"/>
      <c r="V275" s="78"/>
      <c r="W275" s="78"/>
      <c r="X275" s="78"/>
      <c r="Y275" s="78"/>
      <c r="Z275" s="78"/>
    </row>
    <row r="276" spans="1:26" ht="9" customHeight="1">
      <c r="A276" s="82"/>
      <c r="B276" s="82"/>
      <c r="C276" s="82"/>
      <c r="D276" s="81"/>
      <c r="E276" s="81"/>
      <c r="F276" s="81"/>
      <c r="G276" s="78"/>
      <c r="H276" s="78"/>
      <c r="I276" s="78"/>
      <c r="J276" s="78"/>
      <c r="K276" s="78"/>
      <c r="L276" s="78"/>
      <c r="M276" s="78"/>
      <c r="N276" s="78"/>
      <c r="O276" s="78"/>
      <c r="P276" s="78"/>
      <c r="Q276" s="78"/>
      <c r="R276" s="78"/>
      <c r="S276" s="78"/>
      <c r="T276" s="78"/>
      <c r="U276" s="78"/>
      <c r="V276" s="78"/>
      <c r="W276" s="78"/>
      <c r="X276" s="78"/>
      <c r="Y276" s="78"/>
      <c r="Z276" s="78"/>
    </row>
    <row r="277" spans="1:26" ht="9" customHeight="1">
      <c r="A277" s="82"/>
      <c r="B277" s="82"/>
      <c r="C277" s="82"/>
      <c r="D277" s="81"/>
      <c r="E277" s="81"/>
      <c r="F277" s="81"/>
      <c r="G277" s="78"/>
      <c r="H277" s="78"/>
      <c r="I277" s="78"/>
      <c r="J277" s="78"/>
      <c r="K277" s="78"/>
      <c r="L277" s="78"/>
      <c r="M277" s="78"/>
      <c r="N277" s="78"/>
      <c r="O277" s="78"/>
      <c r="P277" s="78"/>
      <c r="Q277" s="78"/>
      <c r="R277" s="78"/>
      <c r="S277" s="78"/>
      <c r="T277" s="78"/>
      <c r="U277" s="78"/>
      <c r="V277" s="78"/>
      <c r="W277" s="78"/>
      <c r="X277" s="78"/>
      <c r="Y277" s="78"/>
      <c r="Z277" s="78"/>
    </row>
    <row r="278" spans="1:26" ht="9" customHeight="1">
      <c r="A278" s="82"/>
      <c r="B278" s="82"/>
      <c r="C278" s="85"/>
      <c r="D278" s="81"/>
      <c r="E278" s="81"/>
      <c r="F278" s="81"/>
      <c r="G278" s="78"/>
      <c r="H278" s="78"/>
      <c r="I278" s="78"/>
      <c r="J278" s="78"/>
      <c r="K278" s="78"/>
      <c r="L278" s="78"/>
      <c r="M278" s="78"/>
      <c r="N278" s="78"/>
      <c r="O278" s="78"/>
      <c r="P278" s="78"/>
      <c r="Q278" s="78"/>
      <c r="R278" s="78"/>
      <c r="S278" s="78"/>
      <c r="T278" s="78"/>
      <c r="U278" s="78"/>
      <c r="V278" s="78"/>
      <c r="W278" s="78"/>
      <c r="X278" s="78"/>
      <c r="Y278" s="78"/>
      <c r="Z278" s="78"/>
    </row>
    <row r="279" spans="1:26" ht="9" customHeight="1">
      <c r="A279" s="82"/>
      <c r="B279" s="82"/>
      <c r="C279" s="86"/>
      <c r="D279" s="81"/>
      <c r="E279" s="81"/>
      <c r="F279" s="81"/>
      <c r="G279" s="78"/>
      <c r="H279" s="78"/>
      <c r="I279" s="78"/>
      <c r="J279" s="78"/>
      <c r="K279" s="78"/>
      <c r="L279" s="78"/>
      <c r="M279" s="78"/>
      <c r="N279" s="78"/>
      <c r="O279" s="78"/>
      <c r="P279" s="78"/>
      <c r="Q279" s="78"/>
      <c r="R279" s="78"/>
      <c r="S279" s="78"/>
      <c r="T279" s="78"/>
      <c r="U279" s="78"/>
      <c r="V279" s="78"/>
      <c r="W279" s="78"/>
      <c r="X279" s="78"/>
      <c r="Y279" s="78"/>
      <c r="Z279" s="78"/>
    </row>
    <row r="280" spans="1:26" ht="9" customHeight="1">
      <c r="A280" s="82"/>
      <c r="B280" s="82"/>
      <c r="C280" s="82"/>
      <c r="D280" s="81"/>
      <c r="E280" s="81"/>
      <c r="F280" s="81"/>
      <c r="G280" s="78"/>
      <c r="H280" s="78"/>
      <c r="I280" s="78"/>
      <c r="J280" s="78"/>
      <c r="K280" s="78"/>
      <c r="L280" s="78"/>
      <c r="M280" s="78"/>
      <c r="N280" s="78"/>
      <c r="O280" s="78"/>
      <c r="P280" s="78"/>
      <c r="Q280" s="78"/>
      <c r="R280" s="78"/>
      <c r="S280" s="78"/>
      <c r="T280" s="78"/>
      <c r="U280" s="78"/>
      <c r="V280" s="78"/>
      <c r="W280" s="78"/>
      <c r="X280" s="78"/>
      <c r="Y280" s="78"/>
      <c r="Z280" s="78"/>
    </row>
    <row r="281" spans="1:26" ht="9" customHeight="1">
      <c r="A281" s="82"/>
      <c r="B281" s="82"/>
      <c r="C281" s="82"/>
      <c r="D281" s="81"/>
      <c r="E281" s="81"/>
      <c r="F281" s="81"/>
      <c r="G281" s="78"/>
      <c r="H281" s="78"/>
      <c r="I281" s="78"/>
      <c r="J281" s="78"/>
      <c r="K281" s="78"/>
      <c r="L281" s="78"/>
      <c r="M281" s="78"/>
      <c r="N281" s="78"/>
      <c r="O281" s="78"/>
      <c r="P281" s="78"/>
      <c r="Q281" s="78"/>
      <c r="R281" s="78"/>
      <c r="S281" s="78"/>
      <c r="T281" s="78"/>
      <c r="U281" s="78"/>
      <c r="V281" s="78"/>
      <c r="W281" s="78"/>
      <c r="X281" s="78"/>
      <c r="Y281" s="78"/>
      <c r="Z281" s="78"/>
    </row>
    <row r="282" spans="1:26" ht="9" customHeight="1">
      <c r="A282" s="82"/>
      <c r="B282" s="82"/>
      <c r="C282" s="82"/>
      <c r="D282" s="81"/>
      <c r="E282" s="81"/>
      <c r="F282" s="81"/>
      <c r="G282" s="78"/>
      <c r="H282" s="78"/>
      <c r="I282" s="78"/>
      <c r="J282" s="78"/>
      <c r="K282" s="78"/>
      <c r="L282" s="78"/>
      <c r="M282" s="78"/>
      <c r="N282" s="78"/>
      <c r="O282" s="78"/>
      <c r="P282" s="78"/>
      <c r="Q282" s="78"/>
      <c r="R282" s="78"/>
      <c r="S282" s="78"/>
      <c r="T282" s="78"/>
      <c r="U282" s="78"/>
      <c r="V282" s="78"/>
      <c r="W282" s="78"/>
      <c r="X282" s="78"/>
      <c r="Y282" s="78"/>
      <c r="Z282" s="78"/>
    </row>
    <row r="283" spans="1:26" ht="14.2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spans="1:26" ht="14.2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spans="1:26" ht="14.2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spans="1:26" ht="14.2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spans="1:26" ht="14.2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spans="1:26" ht="14.2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spans="1:26" ht="14.2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spans="1:26" ht="14.2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spans="1:26" ht="14.2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spans="1:26" ht="14.2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spans="1:26" ht="14.2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spans="1:26" ht="14.2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spans="1:26" ht="14.2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spans="1:26" ht="14.2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spans="1:26" ht="14.2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spans="1:26" ht="14.2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spans="1:26" ht="14.2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spans="1:26" ht="14.2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spans="1:26" ht="14.2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spans="1:26" ht="14.2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spans="1:26" ht="14.2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spans="1:26" ht="14.2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spans="1:26" ht="14.2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spans="1:26" ht="14.2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spans="1:26" ht="14.2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spans="1:26" ht="14.2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spans="1:26" ht="14.2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spans="1:26" ht="14.2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spans="1:26" ht="14.2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spans="1:26" ht="14.2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spans="1:26" ht="14.2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spans="1:26" ht="14.2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spans="1:26" ht="14.2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spans="1:26" ht="14.2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spans="1:26" ht="14.2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spans="1:26" ht="14.2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spans="1:26" ht="14.2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spans="1:26" ht="14.2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spans="1:26" ht="14.2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spans="1:26" ht="14.2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spans="1:26" ht="14.2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spans="1:26" ht="14.2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spans="1:26" ht="14.2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spans="1:26" ht="14.2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spans="1:26" ht="14.2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spans="1:26" ht="14.2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spans="1:26" ht="14.2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spans="1:26" ht="14.2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spans="1:26" ht="14.2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spans="1:26" ht="14.2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spans="1:26" ht="14.2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spans="1:26" ht="14.2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spans="1:26" ht="14.2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spans="1:26" ht="14.2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spans="1:26" ht="14.2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spans="1:26" ht="14.2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spans="1:26" ht="14.2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spans="1:26" ht="14.2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spans="1:26" ht="14.2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spans="1:26" ht="14.2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spans="1:26" ht="14.2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spans="1:26" ht="14.2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spans="1:26" ht="14.2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spans="1:26" ht="14.2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spans="1:26" ht="14.2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spans="1:26" ht="14.2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spans="1:26" ht="14.2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spans="1:26" ht="14.2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spans="1:26" ht="14.2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spans="1:26" ht="14.2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spans="1:26" ht="14.2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spans="1:26" ht="14.2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spans="1:26" ht="14.2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spans="1:26" ht="14.2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spans="1:26" ht="14.2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spans="1:26" ht="14.2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spans="1:26" ht="14.2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spans="1:26" ht="14.2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spans="1:26" ht="14.2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spans="1:26" ht="14.2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spans="1:26" ht="14.2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spans="1:26" ht="14.2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spans="1:26" ht="14.2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spans="1:26" ht="14.2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spans="1:26" ht="14.2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spans="1:26" ht="14.2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spans="1:26" ht="14.2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spans="1:26" ht="14.2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spans="1:26" ht="14.2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spans="1:26" ht="14.2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spans="1:26" ht="14.2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spans="1:26" ht="14.2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spans="1:26" ht="14.2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spans="1:26" ht="14.2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spans="1:26" ht="14.2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spans="1:26" ht="14.2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spans="1:26" ht="14.2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spans="1:26" ht="14.2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spans="1:26" ht="14.2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spans="1:26" ht="14.2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spans="1:26" ht="14.2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spans="1:26" ht="14.2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spans="1:26" ht="14.2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spans="1:26" ht="14.2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spans="1:26" ht="14.2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spans="1:26" ht="14.2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spans="1:26" ht="14.2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spans="1:26" ht="14.2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spans="1:26" ht="14.2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spans="1:26" ht="14.2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spans="1:26" ht="14.2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spans="1:26" ht="14.2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spans="1:26" ht="14.2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spans="1:26" ht="14.2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spans="1:26" ht="14.2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spans="1:26" ht="14.2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spans="1:26" ht="14.2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spans="1:26" ht="14.2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spans="1:26" ht="14.2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spans="1:26" ht="14.2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spans="1:26" ht="14.2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spans="1:26" ht="14.2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spans="1:26" ht="14.2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spans="1:26" ht="14.2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spans="1:26" ht="14.2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spans="1:26" ht="14.2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spans="1:26" ht="14.2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spans="1:26" ht="14.2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spans="1:26" ht="14.2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spans="1:26" ht="14.2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spans="1:26" ht="14.2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spans="1:26" ht="14.2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spans="1:26" ht="14.2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spans="1:26" ht="14.2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spans="1:26" ht="14.2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spans="1:26" ht="14.2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spans="1:26" ht="14.2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spans="1:26" ht="14.2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spans="1:26" ht="14.2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spans="1:26" ht="14.2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spans="1:26" ht="14.2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spans="1:26" ht="14.2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spans="1:26" ht="14.2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spans="1:26" ht="14.2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spans="1:26" ht="14.2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spans="1:26" ht="14.2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spans="1:26" ht="14.2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spans="1:26" ht="14.2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spans="1:26" ht="14.2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spans="1:26" ht="14.2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spans="1:26" ht="14.2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spans="1:26" ht="14.2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spans="1:26" ht="14.2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spans="1:26" ht="14.2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spans="1:26" ht="14.2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spans="1:26" ht="14.2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spans="1:26" ht="14.2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spans="1:26" ht="14.2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spans="1:26" ht="14.2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spans="1:26" ht="14.2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spans="1:26" ht="14.2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spans="1:26" ht="14.2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spans="1:26" ht="14.2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spans="1:26" ht="14.2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spans="1:26" ht="14.2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spans="1:26" ht="14.2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spans="1:26" ht="14.2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spans="1:26" ht="14.2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spans="1:26" ht="14.2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spans="1:26" ht="14.2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spans="1:26" ht="14.2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spans="1:26" ht="14.2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spans="1:26" ht="14.2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spans="1:26" ht="14.2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spans="1:26" ht="14.2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spans="1:26" ht="14.2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spans="1:26" ht="14.2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spans="1:26" ht="14.2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spans="1:26" ht="14.2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spans="1:26" ht="14.2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spans="1:26" ht="14.2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spans="1:26" ht="14.2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spans="1:26" ht="14.2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spans="1:26" ht="14.2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spans="1:26" ht="14.2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spans="1:26" ht="14.2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spans="1:26" ht="14.2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spans="1:26" ht="14.2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spans="1:26" ht="14.2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spans="1:26" ht="14.2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spans="1:26" ht="14.2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spans="1:26" ht="14.2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spans="1:26" ht="14.2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spans="1:26" ht="14.2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spans="1:26" ht="14.2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spans="1:26" ht="14.2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spans="1:26" ht="14.2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spans="1:26" ht="14.2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spans="1:26" ht="14.2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spans="1:26" ht="14.2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spans="1:26" ht="14.2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spans="1:26" ht="14.2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spans="1:26" ht="14.2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spans="1:26" ht="14.2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spans="1:26" ht="14.2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spans="1:26" ht="14.2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spans="1:26" ht="14.2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spans="1:26" ht="14.2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spans="1:26" ht="14.2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spans="1:26" ht="14.2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spans="1:26" ht="14.2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spans="1:26" ht="14.2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spans="1:26" ht="14.2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spans="1:26" ht="14.2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spans="1:26" ht="14.2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spans="1:26" ht="14.2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spans="1:26" ht="14.2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spans="1:26" ht="14.2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spans="1:26" ht="14.2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spans="1:26" ht="14.2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spans="1:26" ht="14.2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spans="1:26" ht="14.2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spans="1:26" ht="14.2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spans="1:26" ht="14.2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spans="1:26" ht="14.2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spans="1:26" ht="14.2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spans="1:26" ht="14.2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spans="1:26" ht="14.2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spans="1:26" ht="14.2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spans="1:26" ht="14.2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spans="1:26" ht="14.2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spans="1:26" ht="14.2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spans="1:26" ht="14.2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spans="1:26" ht="14.2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spans="1:26" ht="14.2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spans="1:26" ht="14.2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spans="1:26" ht="14.2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spans="1:26" ht="14.2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spans="1:26" ht="14.2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spans="1:26" ht="14.2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spans="1:26" ht="14.2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spans="1:26" ht="14.2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spans="1:26" ht="14.2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spans="1:26" ht="14.2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spans="1:26" ht="14.2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spans="1:26" ht="14.2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spans="1:26" ht="14.2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spans="1:26" ht="14.2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spans="1:26" ht="14.2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spans="1:26" ht="14.2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spans="1:26" ht="14.2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spans="1:26" ht="14.2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spans="1:26" ht="14.2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spans="1:26" ht="14.2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spans="1:26" ht="14.2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spans="1:26" ht="14.2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spans="1:26" ht="14.2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spans="1:26" ht="14.2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spans="1:26" ht="14.2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spans="1:26" ht="14.2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spans="1:26" ht="14.2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spans="1:26" ht="14.2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spans="1:26" ht="14.2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spans="1:26" ht="14.2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spans="1:26" ht="14.2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spans="1:26" ht="14.2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spans="1:26" ht="14.2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spans="1:26" ht="14.2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spans="1:26" ht="14.2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spans="1:26" ht="14.2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spans="1:26" ht="14.2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spans="1:26" ht="14.2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spans="1:26" ht="14.2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spans="1:26" ht="14.2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spans="1:26" ht="14.2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spans="1:26" ht="14.2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spans="1:26" ht="14.2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spans="1:26" ht="14.2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spans="1:26" ht="14.2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spans="1:26" ht="14.2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spans="1:26" ht="14.2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spans="1:26" ht="14.2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spans="1:26" ht="14.2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spans="1:26" ht="14.2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spans="1:26" ht="14.2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spans="1:26" ht="14.2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spans="1:26" ht="14.2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spans="1:26" ht="14.2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spans="1:26" ht="14.2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spans="1:26" ht="14.2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spans="1:26" ht="14.2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spans="1:26" ht="14.2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spans="1:26" ht="14.2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spans="1:26" ht="14.2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spans="1:26" ht="14.2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spans="1:26" ht="14.2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spans="1:26" ht="14.2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spans="1:26" ht="14.2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spans="1:26" ht="14.2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spans="1:26" ht="14.2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spans="1:26" ht="14.2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spans="1:26" ht="14.2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spans="1:26" ht="14.2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spans="1:26" ht="14.2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spans="1:26" ht="14.2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spans="1:26" ht="14.2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spans="1:26" ht="14.2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spans="1:26" ht="14.2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spans="1:26" ht="14.2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spans="1:26" ht="14.2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spans="1:26" ht="14.2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spans="1:26" ht="14.2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spans="1:26" ht="14.2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spans="1:26" ht="14.2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spans="1:26" ht="14.2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spans="1:26" ht="14.2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spans="1:26" ht="14.2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spans="1:26" ht="14.2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spans="1:26" ht="14.2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spans="1:26" ht="14.2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spans="1:26" ht="14.2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spans="1:26" ht="14.2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spans="1:26" ht="14.2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spans="1:26" ht="14.2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spans="1:26" ht="14.2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spans="1:26" ht="14.2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spans="1:26" ht="14.2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spans="1:26" ht="14.2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spans="1:26" ht="14.2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spans="1:26" ht="14.2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spans="1:26" ht="14.2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spans="1:26" ht="14.2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spans="1:26" ht="14.2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spans="1:26" ht="14.2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spans="1:26" ht="14.2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spans="1:26" ht="14.2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spans="1:26" ht="14.2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spans="1:26" ht="14.2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spans="1:26" ht="14.2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spans="1:26" ht="14.2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spans="1:26" ht="14.2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spans="1:26" ht="14.2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spans="1:26" ht="14.2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spans="1:26" ht="14.2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spans="1:26" ht="14.2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spans="1:26" ht="14.2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spans="1:26" ht="14.2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spans="1:26" ht="14.2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spans="1:26" ht="14.2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spans="1:26" ht="14.2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spans="1:26" ht="14.2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spans="1:26" ht="14.2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spans="1:26" ht="14.2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spans="1:26" ht="14.2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spans="1:26" ht="14.2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spans="1:26" ht="14.2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spans="1:26" ht="14.2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spans="1:26" ht="14.2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spans="1:26" ht="14.2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spans="1:26" ht="14.2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spans="1:26" ht="14.2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spans="1:26" ht="14.2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spans="1:26" ht="14.2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spans="1:26" ht="14.2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spans="1:26" ht="14.2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spans="1:26" ht="14.2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spans="1:26" ht="14.2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spans="1:26" ht="14.2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spans="1:26" ht="14.2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spans="1:26" ht="14.2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spans="1:26" ht="14.2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spans="1:26" ht="14.2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spans="1:26" ht="14.2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spans="1:26" ht="14.2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spans="1:26" ht="14.2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spans="1:26" ht="14.2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spans="1:26" ht="14.2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spans="1:26" ht="14.2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spans="1:26" ht="14.2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spans="1:26" ht="14.2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spans="1:26" ht="14.2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spans="1:26" ht="14.2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spans="1:26" ht="14.2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spans="1:26" ht="14.2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spans="1:26" ht="14.2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spans="1:26" ht="14.2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spans="1:26" ht="14.2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spans="1:26" ht="14.2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spans="1:26" ht="14.2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spans="1:26" ht="14.2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spans="1:26" ht="14.2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spans="1:26" ht="14.2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spans="1:26" ht="14.2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spans="1:26" ht="14.2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spans="1:26" ht="14.2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spans="1:26" ht="14.2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spans="1:26" ht="14.2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spans="1:26" ht="14.2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spans="1:26" ht="14.2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spans="1:26" ht="14.2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spans="1:26" ht="14.2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spans="1:26" ht="14.2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spans="1:26" ht="14.2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spans="1:26" ht="14.2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spans="1:26" ht="14.2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spans="1:26" ht="14.2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spans="1:26" ht="14.2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spans="1:26" ht="14.2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spans="1:26" ht="14.2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spans="1:26" ht="14.2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spans="1:26" ht="14.2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spans="1:26" ht="14.2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spans="1:26" ht="14.2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spans="1:26" ht="14.2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spans="1:26" ht="14.2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spans="1:26" ht="14.2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spans="1:26" ht="14.2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spans="1:26" ht="14.2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spans="1:26" ht="14.2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spans="1:26" ht="14.2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spans="1:26" ht="14.2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spans="1:26" ht="14.2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spans="1:26" ht="14.2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spans="1:26" ht="14.2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spans="1:26" ht="14.2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spans="1:26" ht="14.2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spans="1:26" ht="14.2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spans="1:26" ht="14.2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spans="1:26" ht="14.2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spans="1:26" ht="14.2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spans="1:26" ht="14.2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spans="1:26" ht="14.2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spans="1:26" ht="14.2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spans="1:26" ht="14.2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spans="1:26" ht="14.2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spans="1:26" ht="14.2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spans="1:26" ht="14.2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spans="1:26" ht="14.2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spans="1:26" ht="14.2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spans="1:26" ht="14.2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spans="1:26" ht="14.2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spans="1:26" ht="14.2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spans="1:26" ht="14.2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spans="1:26" ht="14.2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spans="1:26" ht="14.2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spans="1:26" ht="14.2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spans="1:26" ht="14.2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spans="1:26" ht="14.2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spans="1:26" ht="14.2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spans="1:26" ht="14.2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spans="1:26" ht="14.2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spans="1:26" ht="14.2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spans="1:26" ht="14.2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spans="1:26" ht="14.2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spans="1:26" ht="14.2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spans="1:26" ht="14.2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spans="1:26" ht="14.2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spans="1:26" ht="14.2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spans="1:26" ht="14.2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spans="1:26" ht="14.2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spans="1:26" ht="14.2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spans="1:26" ht="14.2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spans="1:26" ht="14.2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spans="1:26" ht="14.2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spans="1:26" ht="14.2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spans="1:26" ht="14.2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spans="1:26" ht="14.2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spans="1:26" ht="14.2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spans="1:26" ht="14.2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spans="1:26" ht="14.2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spans="1:26" ht="14.2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spans="1:26" ht="14.2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spans="1:26" ht="14.2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spans="1:26" ht="14.2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spans="1:26" ht="14.2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spans="1:26" ht="14.2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spans="1:26" ht="14.2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spans="1:26" ht="14.2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spans="1:26" ht="14.2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spans="1:26" ht="14.2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spans="1:26" ht="14.2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spans="1:26" ht="14.2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spans="1:26" ht="14.2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spans="1:26" ht="14.2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spans="1:26" ht="14.2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spans="1:26" ht="14.2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spans="1:26" ht="14.2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spans="1:26" ht="14.2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spans="1:26" ht="14.2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spans="1:26" ht="14.2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spans="1:26" ht="14.2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spans="1:26" ht="14.2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spans="1:26" ht="14.2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spans="1:26" ht="14.2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spans="1:26" ht="14.2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spans="1:26" ht="14.2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spans="1:26" ht="14.2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spans="1:26" ht="14.2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spans="1:26" ht="14.2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spans="1:26" ht="14.2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spans="1:26" ht="14.2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spans="1:26" ht="14.2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spans="1:26" ht="14.2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spans="1:26" ht="14.2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spans="1:26" ht="14.2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spans="1:26" ht="14.2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spans="1:26" ht="14.2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spans="1:26" ht="14.2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spans="1:26" ht="14.2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spans="1:26" ht="14.2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spans="1:26" ht="14.2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spans="1:26" ht="14.2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spans="1:26" ht="14.2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spans="1:26" ht="14.2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spans="1:26" ht="14.2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spans="1:26" ht="14.2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spans="1:26" ht="14.2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spans="1:26" ht="14.2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spans="1:26" ht="14.2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spans="1:26" ht="14.2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spans="1:26" ht="14.2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spans="1:26" ht="14.2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spans="1:26" ht="14.2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spans="1:26" ht="14.2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spans="1:26" ht="14.2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spans="1:26" ht="14.2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spans="1:26" ht="14.2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spans="1:26" ht="14.2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spans="1:26" ht="14.2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spans="1:26" ht="14.2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spans="1:26" ht="14.2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spans="1:26" ht="14.2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spans="1:26" ht="14.2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spans="1:26" ht="14.2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spans="1:26" ht="14.2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spans="1:26" ht="14.2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spans="1:26" ht="14.2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spans="1:26" ht="14.2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spans="1:26" ht="14.2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spans="1:26" ht="14.2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spans="1:26" ht="14.2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spans="1:26" ht="14.2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spans="1:26" ht="14.2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spans="1:26" ht="14.2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spans="1:26" ht="14.2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spans="1:26" ht="14.2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spans="1:26" ht="14.2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spans="1:26" ht="14.2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spans="1:26" ht="14.2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spans="1:26" ht="14.2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spans="1:26" ht="14.2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spans="1:26" ht="14.2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spans="1:26" ht="14.2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spans="1:26" ht="14.2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spans="1:26" ht="14.2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spans="1:26" ht="14.2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spans="1:26" ht="14.2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spans="1:26" ht="14.2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spans="1:26" ht="14.25" customHeight="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spans="1:26" ht="14.25" customHeight="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spans="1:26" ht="14.25" customHeight="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spans="1:26" ht="14.25" customHeight="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spans="1:26" ht="14.25" customHeight="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spans="1:26" ht="14.25" customHeight="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spans="1:26" ht="14.25" customHeight="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spans="1:26" ht="14.25" customHeight="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spans="1:26" ht="14.25" customHeight="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spans="1:26" ht="14.25" customHeight="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spans="1:26" ht="14.25" customHeight="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spans="1:26" ht="14.25" customHeight="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spans="1:26" ht="14.25" customHeight="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spans="1:26" ht="14.25" customHeight="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spans="1:26" ht="14.25" customHeight="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spans="1:26" ht="14.25" customHeight="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spans="1:26" ht="14.25" customHeight="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spans="1:26" ht="14.25" customHeight="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spans="1:26" ht="14.25" customHeight="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spans="1:26" ht="14.25" customHeight="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spans="1:26" ht="14.25" customHeight="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spans="1:26" ht="14.25" customHeight="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spans="1:26" ht="14.25" customHeight="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spans="1:26" ht="14.25" customHeight="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spans="1:26" ht="14.25" customHeight="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spans="1:26" ht="14.25" customHeight="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spans="1:26" ht="14.25" customHeight="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spans="1:26" ht="14.25" customHeight="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spans="1:26" ht="14.25" customHeight="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spans="1:26" ht="14.25" customHeight="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spans="1:26" ht="14.25" customHeight="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spans="1:26" ht="14.25" customHeight="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spans="1:26" ht="14.25" customHeight="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spans="1:26" ht="14.25" customHeight="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spans="1:26" ht="14.25" customHeight="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spans="1:26" ht="14.25" customHeight="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spans="1:26" ht="14.25" customHeight="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spans="1:26" ht="14.25" customHeight="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spans="1:26" ht="14.25" customHeight="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spans="1:26" ht="14.25" customHeight="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spans="1:26" ht="14.25" customHeight="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spans="1:26" ht="14.25" customHeight="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spans="1:26" ht="14.25" customHeight="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spans="1:26" ht="14.25" customHeight="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spans="1:26" ht="14.25" customHeight="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spans="1:26" ht="14.25" customHeight="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spans="1:26" ht="14.25" customHeight="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spans="1:26" ht="14.25" customHeight="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spans="1:26" ht="14.25" customHeight="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spans="1:26" ht="14.25" customHeight="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spans="1:26" ht="14.25" customHeight="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spans="1:26" ht="14.25" customHeight="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spans="1:26" ht="14.25" customHeight="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spans="1:26" ht="14.25" customHeight="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spans="1:26" ht="14.25" customHeight="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spans="1:26" ht="14.25" customHeight="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spans="1:26" ht="14.25" customHeight="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spans="1:26" ht="14.25" customHeight="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spans="1:26" ht="14.25" customHeight="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spans="1:26" ht="14.25" customHeight="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spans="1:26" ht="14.25" customHeight="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spans="1:26" ht="14.25" customHeight="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spans="1:26" ht="14.25" customHeight="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spans="1:26" ht="14.25" customHeight="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spans="1:26" ht="14.25" customHeight="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spans="1:26" ht="14.25" customHeight="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spans="1:26" ht="14.25" customHeight="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spans="1:26" ht="14.25" customHeight="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spans="1:26" ht="14.25" customHeight="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spans="1:26" ht="14.25" customHeight="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spans="1:26" ht="14.25" customHeight="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spans="1:26" ht="14.25" customHeight="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spans="1:26" ht="14.25" customHeight="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spans="1:26" ht="14.25" customHeight="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spans="1:26" ht="14.25" customHeight="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spans="1:26" ht="14.25" customHeight="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spans="1:26" ht="14.25" customHeight="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spans="1:26" ht="14.25" customHeight="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spans="1:26" ht="14.25" customHeight="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spans="1:26" ht="14.25" customHeight="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spans="1:26" ht="14.25" customHeight="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spans="1:26" ht="14.25" customHeight="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spans="1:26" ht="14.25" customHeight="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spans="1:26" ht="14.25" customHeight="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spans="1:26" ht="14.25" customHeight="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spans="1:26" ht="14.25" customHeight="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spans="1:26" ht="14.25" customHeight="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spans="1:26" ht="14.25" customHeight="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spans="1:26" ht="14.25" customHeight="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spans="1:26" ht="14.25" customHeight="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spans="1:26" ht="14.25" customHeight="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spans="1:26" ht="14.25" customHeight="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spans="1:26" ht="14.25" customHeight="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spans="1:26" ht="14.25" customHeight="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spans="1:26" ht="14.25" customHeight="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spans="1:26" ht="14.25" customHeight="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spans="1:26" ht="14.25" customHeight="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spans="1:26" ht="14.25" customHeight="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spans="1:26" ht="14.25" customHeight="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spans="1:26" ht="14.25" customHeight="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spans="1:26" ht="14.25" customHeight="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spans="1:26" ht="14.25" customHeight="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spans="1:26" ht="14.25" customHeight="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spans="1:26" ht="14.25" customHeight="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spans="1:26" ht="14.25" customHeight="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spans="1:26" ht="14.25" customHeight="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spans="1:26" ht="14.25" customHeight="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spans="1:26" ht="14.25" customHeight="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spans="1:26" ht="14.25" customHeight="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spans="1:26" ht="14.25" customHeight="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spans="1:26" ht="14.25" customHeight="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spans="1:26" ht="14.25" customHeight="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spans="1:26" ht="14.25" customHeight="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spans="1:26" ht="14.25" customHeight="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spans="1:26" ht="14.25" customHeight="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spans="1:26" ht="14.25" customHeight="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spans="1:26" ht="14.25" customHeight="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spans="1:26" ht="14.25" customHeight="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spans="1:26" ht="14.25" customHeight="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spans="1:26" ht="14.25" customHeight="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spans="1:26" ht="14.25" customHeight="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spans="1:26" ht="14.25" customHeight="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spans="1:26" ht="14.25" customHeight="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spans="1:26" ht="14.25" customHeight="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spans="1:26" ht="14.25" customHeight="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spans="1:26" ht="14.25" customHeight="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spans="1:26" ht="14.25" customHeight="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spans="1:26" ht="14.25" customHeight="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spans="1:26" ht="14.25" customHeight="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spans="1:26" ht="14.25" customHeight="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spans="1:26" ht="14.25" customHeight="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spans="1:26" ht="14.25" customHeight="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spans="1:26" ht="14.25" customHeight="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spans="1:26" ht="14.25" customHeight="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spans="1:26" ht="14.25" customHeight="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spans="1:26" ht="14.25" customHeight="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spans="1:26" ht="14.25" customHeight="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spans="1:26" ht="14.25" customHeight="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spans="1:26" ht="14.25" customHeight="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spans="1:26" ht="14.25" customHeight="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spans="1:26" ht="14.25" customHeight="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spans="1:26" ht="14.25" customHeight="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spans="1:26" ht="14.25" customHeight="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spans="1:26" ht="14.25" customHeight="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spans="1:26" ht="14.25" customHeight="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spans="1:26" ht="14.25" customHeight="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spans="1:26" ht="14.25" customHeight="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spans="1:26" ht="14.25" customHeight="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spans="1:26" ht="14.25" customHeight="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spans="1:26" ht="14.25" customHeight="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spans="1:26" ht="14.25" customHeight="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spans="1:26" ht="14.25" customHeight="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spans="1:26" ht="14.25" customHeight="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spans="1:26" ht="14.25" customHeight="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spans="1:26" ht="14.25" customHeight="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row r="996" spans="1:26" ht="14.25" customHeight="1">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row>
    <row r="997" spans="1:26" ht="14.25" customHeight="1">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row>
    <row r="998" spans="1:26" ht="14.25" customHeight="1">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row>
    <row r="999" spans="1:26" ht="14.25" customHeight="1">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row>
    <row r="1000" spans="1:26" ht="14.25" customHeight="1">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8" topLeftCell="A9" activePane="bottomLeft" state="frozen"/>
      <selection pane="bottomLeft" activeCell="B10" sqref="B10"/>
    </sheetView>
  </sheetViews>
  <sheetFormatPr defaultColWidth="14.44140625" defaultRowHeight="15" customHeight="1"/>
  <cols>
    <col min="1" max="1" width="14.33203125" customWidth="1"/>
    <col min="2" max="2" width="21.88671875" customWidth="1"/>
    <col min="3" max="3" width="29.33203125" customWidth="1"/>
    <col min="4" max="4" width="34.44140625" customWidth="1"/>
    <col min="5" max="5" width="19.33203125" customWidth="1"/>
    <col min="6" max="6" width="13.5546875" customWidth="1"/>
    <col min="7" max="7" width="10.33203125" customWidth="1"/>
    <col min="8" max="8" width="20.109375" customWidth="1"/>
    <col min="9" max="9" width="9.44140625" customWidth="1"/>
    <col min="10" max="10" width="7.5546875" hidden="1" customWidth="1"/>
    <col min="11" max="11" width="10.33203125" customWidth="1"/>
    <col min="12" max="26" width="9.109375" customWidth="1"/>
  </cols>
  <sheetData>
    <row r="1" spans="1:26" ht="13.5" customHeight="1">
      <c r="A1" s="102"/>
      <c r="B1" s="103"/>
      <c r="C1" s="103"/>
      <c r="D1" s="103"/>
      <c r="E1" s="103"/>
      <c r="F1" s="104"/>
      <c r="G1" s="105"/>
      <c r="H1" s="41"/>
      <c r="I1" s="106"/>
      <c r="J1" s="107"/>
      <c r="K1" s="107"/>
      <c r="L1" s="107"/>
      <c r="M1" s="107"/>
      <c r="N1" s="107"/>
      <c r="O1" s="107"/>
      <c r="P1" s="107"/>
      <c r="Q1" s="107"/>
      <c r="R1" s="107"/>
      <c r="S1" s="107"/>
      <c r="T1" s="107"/>
      <c r="U1" s="107"/>
      <c r="V1" s="107"/>
      <c r="W1" s="107"/>
      <c r="X1" s="107"/>
      <c r="Y1" s="107"/>
      <c r="Z1" s="107"/>
    </row>
    <row r="2" spans="1:26" ht="15" customHeight="1">
      <c r="A2" s="108" t="s">
        <v>575</v>
      </c>
      <c r="B2" s="214" t="s">
        <v>576</v>
      </c>
      <c r="C2" s="198"/>
      <c r="D2" s="198"/>
      <c r="E2" s="198"/>
      <c r="F2" s="198"/>
      <c r="G2" s="198"/>
      <c r="H2" s="199"/>
      <c r="I2" s="106"/>
      <c r="J2" s="107" t="s">
        <v>577</v>
      </c>
      <c r="K2" s="107"/>
      <c r="L2" s="107"/>
      <c r="M2" s="107"/>
      <c r="N2" s="107"/>
      <c r="O2" s="107"/>
      <c r="P2" s="107"/>
      <c r="Q2" s="107"/>
      <c r="R2" s="107"/>
      <c r="S2" s="107"/>
      <c r="T2" s="107"/>
      <c r="U2" s="107"/>
      <c r="V2" s="107"/>
      <c r="W2" s="107"/>
      <c r="X2" s="107"/>
      <c r="Y2" s="107"/>
      <c r="Z2" s="107"/>
    </row>
    <row r="3" spans="1:26" ht="25.5" customHeight="1">
      <c r="A3" s="109" t="s">
        <v>578</v>
      </c>
      <c r="B3" s="214" t="s">
        <v>579</v>
      </c>
      <c r="C3" s="198"/>
      <c r="D3" s="198"/>
      <c r="E3" s="198"/>
      <c r="F3" s="198"/>
      <c r="G3" s="198"/>
      <c r="H3" s="199"/>
      <c r="I3" s="106"/>
      <c r="J3" s="107" t="s">
        <v>580</v>
      </c>
      <c r="K3" s="107"/>
      <c r="L3" s="107"/>
      <c r="M3" s="107"/>
      <c r="N3" s="107"/>
      <c r="O3" s="107"/>
      <c r="P3" s="107"/>
      <c r="Q3" s="107"/>
      <c r="R3" s="107"/>
      <c r="S3" s="107"/>
      <c r="T3" s="107"/>
      <c r="U3" s="107"/>
      <c r="V3" s="107"/>
      <c r="W3" s="107"/>
      <c r="X3" s="107"/>
      <c r="Y3" s="107"/>
      <c r="Z3" s="107"/>
    </row>
    <row r="4" spans="1:26" ht="18" customHeight="1">
      <c r="A4" s="108" t="s">
        <v>581</v>
      </c>
      <c r="B4" s="214" t="s">
        <v>4</v>
      </c>
      <c r="C4" s="198"/>
      <c r="D4" s="198"/>
      <c r="E4" s="198"/>
      <c r="F4" s="198"/>
      <c r="G4" s="198"/>
      <c r="H4" s="199"/>
      <c r="I4" s="106"/>
      <c r="J4" s="107" t="s">
        <v>582</v>
      </c>
      <c r="K4" s="107"/>
      <c r="L4" s="107"/>
      <c r="M4" s="107"/>
      <c r="N4" s="107"/>
      <c r="O4" s="107"/>
      <c r="P4" s="107"/>
      <c r="Q4" s="107"/>
      <c r="R4" s="107"/>
      <c r="S4" s="107"/>
      <c r="T4" s="107"/>
      <c r="U4" s="107"/>
      <c r="V4" s="107"/>
      <c r="W4" s="107"/>
      <c r="X4" s="107"/>
      <c r="Y4" s="107"/>
      <c r="Z4" s="107"/>
    </row>
    <row r="5" spans="1:26" ht="19.5" customHeight="1">
      <c r="A5" s="110" t="s">
        <v>577</v>
      </c>
      <c r="B5" s="111" t="s">
        <v>580</v>
      </c>
      <c r="C5" s="111" t="s">
        <v>583</v>
      </c>
      <c r="D5" s="111" t="s">
        <v>582</v>
      </c>
      <c r="E5" s="112" t="s">
        <v>584</v>
      </c>
      <c r="F5" s="215" t="s">
        <v>585</v>
      </c>
      <c r="G5" s="198"/>
      <c r="H5" s="199"/>
      <c r="I5" s="113"/>
      <c r="J5" s="107" t="s">
        <v>583</v>
      </c>
      <c r="K5" s="107"/>
      <c r="L5" s="107"/>
      <c r="M5" s="107"/>
      <c r="N5" s="107"/>
      <c r="O5" s="107"/>
      <c r="P5" s="107"/>
      <c r="Q5" s="107"/>
      <c r="R5" s="107"/>
      <c r="S5" s="107"/>
      <c r="T5" s="107"/>
      <c r="U5" s="107"/>
      <c r="V5" s="107"/>
      <c r="W5" s="107"/>
      <c r="X5" s="107"/>
      <c r="Y5" s="107"/>
      <c r="Z5" s="107"/>
    </row>
    <row r="6" spans="1:26" ht="15" customHeight="1">
      <c r="A6" s="114">
        <f>COUNTIF(F9:F996,"Passed")</f>
        <v>0</v>
      </c>
      <c r="B6" s="115">
        <f>COUNTIF(F9:F996,"Failed")</f>
        <v>0</v>
      </c>
      <c r="C6" s="115">
        <f>F6-E6-D6-B6-A6</f>
        <v>27</v>
      </c>
      <c r="D6" s="115">
        <f>COUNTIF(F9:F996,"Blocked")</f>
        <v>0</v>
      </c>
      <c r="E6" s="116">
        <f>COUNTIF(F9:F996,"Skipped")</f>
        <v>0</v>
      </c>
      <c r="F6" s="216">
        <f>COUNTA(A9:A996)</f>
        <v>27</v>
      </c>
      <c r="G6" s="198"/>
      <c r="H6" s="199"/>
      <c r="I6" s="113"/>
      <c r="J6" s="107" t="s">
        <v>584</v>
      </c>
      <c r="K6" s="107"/>
      <c r="L6" s="107"/>
      <c r="M6" s="107"/>
      <c r="N6" s="107"/>
      <c r="O6" s="107"/>
      <c r="P6" s="107"/>
      <c r="Q6" s="107"/>
      <c r="R6" s="107"/>
      <c r="S6" s="107"/>
      <c r="T6" s="107"/>
      <c r="U6" s="107"/>
      <c r="V6" s="107"/>
      <c r="W6" s="107"/>
      <c r="X6" s="107"/>
      <c r="Y6" s="107"/>
      <c r="Z6" s="107"/>
    </row>
    <row r="7" spans="1:26" ht="15" customHeight="1">
      <c r="A7" s="107"/>
      <c r="B7" s="107"/>
      <c r="C7" s="107"/>
      <c r="D7" s="117"/>
      <c r="E7" s="117"/>
      <c r="F7" s="117"/>
      <c r="G7" s="117"/>
      <c r="H7" s="117"/>
      <c r="I7" s="113"/>
      <c r="J7" s="107"/>
      <c r="K7" s="107"/>
      <c r="L7" s="107"/>
      <c r="M7" s="107"/>
      <c r="N7" s="107"/>
      <c r="O7" s="107"/>
      <c r="P7" s="107"/>
      <c r="Q7" s="107"/>
      <c r="R7" s="107"/>
      <c r="S7" s="107"/>
      <c r="T7" s="107"/>
      <c r="U7" s="107"/>
      <c r="V7" s="107"/>
      <c r="W7" s="107"/>
      <c r="X7" s="107"/>
      <c r="Y7" s="107"/>
      <c r="Z7" s="107"/>
    </row>
    <row r="8" spans="1:26" ht="25.5" customHeight="1">
      <c r="A8" s="118" t="s">
        <v>586</v>
      </c>
      <c r="B8" s="118" t="s">
        <v>587</v>
      </c>
      <c r="C8" s="118" t="s">
        <v>588</v>
      </c>
      <c r="D8" s="118" t="s">
        <v>589</v>
      </c>
      <c r="E8" s="119" t="s">
        <v>590</v>
      </c>
      <c r="F8" s="119" t="s">
        <v>591</v>
      </c>
      <c r="G8" s="119" t="s">
        <v>592</v>
      </c>
      <c r="H8" s="118" t="s">
        <v>96</v>
      </c>
      <c r="I8" s="120"/>
      <c r="J8" s="107"/>
      <c r="K8" s="107"/>
      <c r="L8" s="107"/>
      <c r="M8" s="107"/>
      <c r="N8" s="107"/>
      <c r="O8" s="107"/>
      <c r="P8" s="107"/>
      <c r="Q8" s="107"/>
      <c r="R8" s="107"/>
      <c r="S8" s="107"/>
      <c r="T8" s="107"/>
      <c r="U8" s="107"/>
      <c r="V8" s="107"/>
      <c r="W8" s="107"/>
      <c r="X8" s="107"/>
      <c r="Y8" s="107"/>
      <c r="Z8" s="107"/>
    </row>
    <row r="9" spans="1:26" ht="181.5" customHeight="1">
      <c r="A9" s="121" t="s">
        <v>593</v>
      </c>
      <c r="B9" s="122" t="s">
        <v>594</v>
      </c>
      <c r="C9" s="122" t="s">
        <v>595</v>
      </c>
      <c r="D9" s="122" t="s">
        <v>596</v>
      </c>
      <c r="E9" s="123"/>
      <c r="F9" s="121" t="s">
        <v>583</v>
      </c>
      <c r="G9" s="124"/>
      <c r="H9" s="125"/>
      <c r="I9" s="126"/>
      <c r="J9" s="127"/>
      <c r="K9" s="127"/>
      <c r="L9" s="127"/>
      <c r="M9" s="127"/>
      <c r="N9" s="127"/>
      <c r="O9" s="127"/>
      <c r="P9" s="127"/>
      <c r="Q9" s="127"/>
      <c r="R9" s="127"/>
      <c r="S9" s="127"/>
      <c r="T9" s="127"/>
      <c r="U9" s="127"/>
      <c r="V9" s="127"/>
      <c r="W9" s="127"/>
      <c r="X9" s="127"/>
      <c r="Y9" s="127"/>
      <c r="Z9" s="127"/>
    </row>
    <row r="10" spans="1:26" ht="181.5" customHeight="1">
      <c r="A10" s="121" t="s">
        <v>597</v>
      </c>
      <c r="B10" s="122" t="s">
        <v>598</v>
      </c>
      <c r="C10" s="122" t="s">
        <v>599</v>
      </c>
      <c r="D10" s="122" t="s">
        <v>600</v>
      </c>
      <c r="E10" s="123"/>
      <c r="F10" s="121" t="s">
        <v>583</v>
      </c>
      <c r="G10" s="124"/>
      <c r="H10" s="125"/>
      <c r="I10" s="126"/>
      <c r="J10" s="127"/>
      <c r="K10" s="127"/>
      <c r="L10" s="127"/>
      <c r="M10" s="127"/>
      <c r="N10" s="127"/>
      <c r="O10" s="127"/>
      <c r="P10" s="127"/>
      <c r="Q10" s="127"/>
      <c r="R10" s="127"/>
      <c r="S10" s="127"/>
      <c r="T10" s="127"/>
      <c r="U10" s="127"/>
      <c r="V10" s="127"/>
      <c r="W10" s="127"/>
      <c r="X10" s="127"/>
      <c r="Y10" s="127"/>
      <c r="Z10" s="127"/>
    </row>
    <row r="11" spans="1:26" ht="114" customHeight="1">
      <c r="A11" s="121" t="s">
        <v>601</v>
      </c>
      <c r="B11" s="122" t="s">
        <v>602</v>
      </c>
      <c r="C11" s="122" t="s">
        <v>603</v>
      </c>
      <c r="D11" s="122" t="s">
        <v>604</v>
      </c>
      <c r="E11" s="123"/>
      <c r="F11" s="121" t="s">
        <v>583</v>
      </c>
      <c r="G11" s="124"/>
      <c r="H11" s="125"/>
      <c r="I11" s="126"/>
      <c r="J11" s="127"/>
      <c r="K11" s="127"/>
      <c r="L11" s="127"/>
      <c r="M11" s="127"/>
      <c r="N11" s="127"/>
      <c r="O11" s="127"/>
      <c r="P11" s="127"/>
      <c r="Q11" s="127"/>
      <c r="R11" s="127"/>
      <c r="S11" s="127"/>
      <c r="T11" s="127"/>
      <c r="U11" s="127"/>
      <c r="V11" s="127"/>
      <c r="W11" s="127"/>
      <c r="X11" s="127"/>
      <c r="Y11" s="127"/>
      <c r="Z11" s="127"/>
    </row>
    <row r="12" spans="1:26" ht="127.5" customHeight="1">
      <c r="A12" s="121" t="s">
        <v>605</v>
      </c>
      <c r="B12" s="122" t="s">
        <v>606</v>
      </c>
      <c r="C12" s="122" t="s">
        <v>607</v>
      </c>
      <c r="D12" s="122" t="s">
        <v>608</v>
      </c>
      <c r="E12" s="123"/>
      <c r="F12" s="121" t="s">
        <v>583</v>
      </c>
      <c r="G12" s="124"/>
      <c r="H12" s="125"/>
      <c r="I12" s="126"/>
      <c r="J12" s="127"/>
      <c r="K12" s="127"/>
      <c r="L12" s="127"/>
      <c r="M12" s="127"/>
      <c r="N12" s="127"/>
      <c r="O12" s="127"/>
      <c r="P12" s="127"/>
      <c r="Q12" s="127"/>
      <c r="R12" s="127"/>
      <c r="S12" s="127"/>
      <c r="T12" s="127"/>
      <c r="U12" s="127"/>
      <c r="V12" s="127"/>
      <c r="W12" s="127"/>
      <c r="X12" s="127"/>
      <c r="Y12" s="127"/>
      <c r="Z12" s="127"/>
    </row>
    <row r="13" spans="1:26" ht="100.5" customHeight="1">
      <c r="A13" s="121" t="s">
        <v>609</v>
      </c>
      <c r="B13" s="122" t="s">
        <v>610</v>
      </c>
      <c r="C13" s="122" t="s">
        <v>611</v>
      </c>
      <c r="D13" s="122" t="s">
        <v>612</v>
      </c>
      <c r="E13" s="123"/>
      <c r="F13" s="121" t="s">
        <v>583</v>
      </c>
      <c r="G13" s="124"/>
      <c r="H13" s="125"/>
      <c r="I13" s="126"/>
      <c r="J13" s="127"/>
      <c r="K13" s="127"/>
      <c r="L13" s="127"/>
      <c r="M13" s="127"/>
      <c r="N13" s="127"/>
      <c r="O13" s="127"/>
      <c r="P13" s="127"/>
      <c r="Q13" s="127"/>
      <c r="R13" s="127"/>
      <c r="S13" s="127"/>
      <c r="T13" s="127"/>
      <c r="U13" s="127"/>
      <c r="V13" s="127"/>
      <c r="W13" s="127"/>
      <c r="X13" s="127"/>
      <c r="Y13" s="127"/>
      <c r="Z13" s="127"/>
    </row>
    <row r="14" spans="1:26" ht="168" customHeight="1">
      <c r="A14" s="121" t="s">
        <v>613</v>
      </c>
      <c r="B14" s="122" t="s">
        <v>614</v>
      </c>
      <c r="C14" s="122" t="s">
        <v>615</v>
      </c>
      <c r="D14" s="122" t="s">
        <v>616</v>
      </c>
      <c r="E14" s="123"/>
      <c r="F14" s="121" t="s">
        <v>583</v>
      </c>
      <c r="G14" s="124"/>
      <c r="H14" s="125"/>
      <c r="I14" s="126"/>
      <c r="J14" s="127"/>
      <c r="K14" s="127"/>
      <c r="L14" s="127"/>
      <c r="M14" s="127"/>
      <c r="N14" s="127"/>
      <c r="O14" s="127"/>
      <c r="P14" s="127"/>
      <c r="Q14" s="127"/>
      <c r="R14" s="127"/>
      <c r="S14" s="127"/>
      <c r="T14" s="127"/>
      <c r="U14" s="127"/>
      <c r="V14" s="127"/>
      <c r="W14" s="127"/>
      <c r="X14" s="127"/>
      <c r="Y14" s="127"/>
      <c r="Z14" s="127"/>
    </row>
    <row r="15" spans="1:26" ht="195" customHeight="1">
      <c r="A15" s="121" t="s">
        <v>617</v>
      </c>
      <c r="B15" s="128" t="s">
        <v>618</v>
      </c>
      <c r="C15" s="122" t="s">
        <v>619</v>
      </c>
      <c r="D15" s="122" t="s">
        <v>620</v>
      </c>
      <c r="E15" s="129"/>
      <c r="F15" s="21" t="s">
        <v>583</v>
      </c>
      <c r="G15" s="130"/>
      <c r="H15" s="130"/>
      <c r="I15" s="131"/>
      <c r="J15" s="107"/>
      <c r="K15" s="107"/>
      <c r="L15" s="7"/>
      <c r="M15" s="7"/>
      <c r="N15" s="7"/>
      <c r="O15" s="7"/>
      <c r="P15" s="7"/>
      <c r="Q15" s="7"/>
      <c r="R15" s="7"/>
      <c r="S15" s="7"/>
      <c r="T15" s="7"/>
      <c r="U15" s="7"/>
      <c r="V15" s="7"/>
      <c r="W15" s="7"/>
      <c r="X15" s="7"/>
      <c r="Y15" s="7"/>
      <c r="Z15" s="7"/>
    </row>
    <row r="16" spans="1:26" ht="181.5" customHeight="1">
      <c r="A16" s="121" t="s">
        <v>621</v>
      </c>
      <c r="B16" s="128" t="s">
        <v>622</v>
      </c>
      <c r="C16" s="122" t="s">
        <v>623</v>
      </c>
      <c r="D16" s="122" t="s">
        <v>624</v>
      </c>
      <c r="E16" s="129"/>
      <c r="F16" s="121" t="s">
        <v>583</v>
      </c>
      <c r="G16" s="130"/>
      <c r="H16" s="130"/>
      <c r="I16" s="126"/>
      <c r="J16" s="7"/>
      <c r="K16" s="7"/>
      <c r="L16" s="7"/>
      <c r="M16" s="7"/>
      <c r="N16" s="7"/>
      <c r="O16" s="7"/>
      <c r="P16" s="7"/>
      <c r="Q16" s="7"/>
      <c r="R16" s="7"/>
      <c r="S16" s="7"/>
      <c r="T16" s="7"/>
      <c r="U16" s="7"/>
      <c r="V16" s="7"/>
      <c r="W16" s="7"/>
      <c r="X16" s="7"/>
      <c r="Y16" s="7"/>
      <c r="Z16" s="7"/>
    </row>
    <row r="17" spans="1:26" ht="154.5" customHeight="1">
      <c r="A17" s="121" t="s">
        <v>625</v>
      </c>
      <c r="B17" s="128" t="s">
        <v>626</v>
      </c>
      <c r="C17" s="122" t="s">
        <v>627</v>
      </c>
      <c r="D17" s="122" t="s">
        <v>628</v>
      </c>
      <c r="E17" s="129"/>
      <c r="F17" s="132" t="s">
        <v>583</v>
      </c>
      <c r="G17" s="130"/>
      <c r="H17" s="130"/>
      <c r="I17" s="133"/>
      <c r="J17" s="7"/>
      <c r="K17" s="7"/>
      <c r="L17" s="7"/>
      <c r="M17" s="7"/>
      <c r="N17" s="7"/>
      <c r="O17" s="7"/>
      <c r="P17" s="7"/>
      <c r="Q17" s="7"/>
      <c r="R17" s="7"/>
      <c r="S17" s="7"/>
      <c r="T17" s="7"/>
      <c r="U17" s="7"/>
      <c r="V17" s="7"/>
      <c r="W17" s="7"/>
      <c r="X17" s="7"/>
      <c r="Y17" s="7"/>
      <c r="Z17" s="7"/>
    </row>
    <row r="18" spans="1:26" ht="195" customHeight="1">
      <c r="A18" s="121" t="s">
        <v>629</v>
      </c>
      <c r="B18" s="128" t="s">
        <v>630</v>
      </c>
      <c r="C18" s="122" t="s">
        <v>631</v>
      </c>
      <c r="D18" s="122" t="s">
        <v>632</v>
      </c>
      <c r="E18" s="129"/>
      <c r="F18" s="132" t="s">
        <v>583</v>
      </c>
      <c r="G18" s="130"/>
      <c r="H18" s="130"/>
      <c r="I18" s="133"/>
      <c r="J18" s="7"/>
      <c r="K18" s="7"/>
      <c r="L18" s="7"/>
      <c r="M18" s="7"/>
      <c r="N18" s="7"/>
      <c r="O18" s="7"/>
      <c r="P18" s="7"/>
      <c r="Q18" s="7"/>
      <c r="R18" s="7"/>
      <c r="S18" s="7"/>
      <c r="T18" s="7"/>
      <c r="U18" s="7"/>
      <c r="V18" s="7"/>
      <c r="W18" s="7"/>
      <c r="X18" s="7"/>
      <c r="Y18" s="7"/>
      <c r="Z18" s="7"/>
    </row>
    <row r="19" spans="1:26" ht="141" customHeight="1">
      <c r="A19" s="121" t="s">
        <v>633</v>
      </c>
      <c r="B19" s="128" t="s">
        <v>634</v>
      </c>
      <c r="C19" s="122" t="s">
        <v>635</v>
      </c>
      <c r="D19" s="122" t="s">
        <v>636</v>
      </c>
      <c r="E19" s="129"/>
      <c r="F19" s="132" t="s">
        <v>583</v>
      </c>
      <c r="G19" s="130"/>
      <c r="H19" s="130"/>
      <c r="I19" s="133"/>
      <c r="J19" s="7"/>
      <c r="K19" s="7"/>
      <c r="L19" s="7"/>
      <c r="M19" s="7"/>
      <c r="N19" s="7"/>
      <c r="O19" s="7"/>
      <c r="P19" s="7"/>
      <c r="Q19" s="7"/>
      <c r="R19" s="7"/>
      <c r="S19" s="7"/>
      <c r="T19" s="7"/>
      <c r="U19" s="7"/>
      <c r="V19" s="7"/>
      <c r="W19" s="7"/>
      <c r="X19" s="7"/>
      <c r="Y19" s="7"/>
      <c r="Z19" s="7"/>
    </row>
    <row r="20" spans="1:26" ht="168" customHeight="1">
      <c r="A20" s="134" t="s">
        <v>637</v>
      </c>
      <c r="B20" s="122" t="s">
        <v>638</v>
      </c>
      <c r="C20" s="122" t="s">
        <v>639</v>
      </c>
      <c r="D20" s="122" t="s">
        <v>640</v>
      </c>
      <c r="E20" s="122"/>
      <c r="F20" s="121" t="s">
        <v>583</v>
      </c>
      <c r="G20" s="124"/>
      <c r="H20" s="121"/>
      <c r="I20" s="133"/>
      <c r="J20" s="7"/>
      <c r="K20" s="7"/>
      <c r="L20" s="7"/>
      <c r="M20" s="7"/>
      <c r="N20" s="7"/>
      <c r="O20" s="7"/>
      <c r="P20" s="7"/>
      <c r="Q20" s="7"/>
      <c r="R20" s="7"/>
      <c r="S20" s="7"/>
      <c r="T20" s="7"/>
      <c r="U20" s="7"/>
      <c r="V20" s="7"/>
      <c r="W20" s="7"/>
      <c r="X20" s="7"/>
      <c r="Y20" s="7"/>
      <c r="Z20" s="7"/>
    </row>
    <row r="21" spans="1:26" ht="117.75" customHeight="1">
      <c r="A21" s="134" t="s">
        <v>641</v>
      </c>
      <c r="B21" s="122" t="s">
        <v>642</v>
      </c>
      <c r="C21" s="122" t="s">
        <v>643</v>
      </c>
      <c r="D21" s="122" t="s">
        <v>644</v>
      </c>
      <c r="E21" s="122" t="s">
        <v>645</v>
      </c>
      <c r="F21" s="121" t="s">
        <v>583</v>
      </c>
      <c r="G21" s="124"/>
      <c r="H21" s="121"/>
      <c r="I21" s="133"/>
      <c r="J21" s="7"/>
      <c r="K21" s="7"/>
      <c r="L21" s="7"/>
      <c r="M21" s="7"/>
      <c r="N21" s="7"/>
      <c r="O21" s="7"/>
      <c r="P21" s="7"/>
      <c r="Q21" s="7"/>
      <c r="R21" s="7"/>
      <c r="S21" s="7"/>
      <c r="T21" s="7"/>
      <c r="U21" s="7"/>
      <c r="V21" s="7"/>
      <c r="W21" s="7"/>
      <c r="X21" s="7"/>
      <c r="Y21" s="7"/>
      <c r="Z21" s="7"/>
    </row>
    <row r="22" spans="1:26" ht="66.75" customHeight="1">
      <c r="A22" s="134" t="s">
        <v>646</v>
      </c>
      <c r="B22" s="122" t="s">
        <v>647</v>
      </c>
      <c r="C22" s="122" t="s">
        <v>648</v>
      </c>
      <c r="D22" s="122" t="s">
        <v>649</v>
      </c>
      <c r="E22" s="122" t="s">
        <v>645</v>
      </c>
      <c r="F22" s="121" t="s">
        <v>583</v>
      </c>
      <c r="G22" s="124"/>
      <c r="H22" s="121"/>
      <c r="I22" s="133"/>
      <c r="J22" s="7"/>
      <c r="K22" s="7"/>
      <c r="L22" s="7"/>
      <c r="M22" s="7"/>
      <c r="N22" s="7"/>
      <c r="O22" s="7"/>
      <c r="P22" s="7"/>
      <c r="Q22" s="7"/>
      <c r="R22" s="7"/>
      <c r="S22" s="7"/>
      <c r="T22" s="7"/>
      <c r="U22" s="7"/>
      <c r="V22" s="7"/>
      <c r="W22" s="7"/>
      <c r="X22" s="7"/>
      <c r="Y22" s="7"/>
      <c r="Z22" s="7"/>
    </row>
    <row r="23" spans="1:26" ht="90.75" customHeight="1">
      <c r="A23" s="134" t="s">
        <v>650</v>
      </c>
      <c r="B23" s="122" t="s">
        <v>651</v>
      </c>
      <c r="C23" s="122" t="s">
        <v>652</v>
      </c>
      <c r="D23" s="122" t="s">
        <v>653</v>
      </c>
      <c r="E23" s="122"/>
      <c r="F23" s="121" t="s">
        <v>583</v>
      </c>
      <c r="G23" s="124"/>
      <c r="H23" s="121"/>
      <c r="I23" s="133"/>
      <c r="J23" s="7"/>
      <c r="K23" s="7"/>
      <c r="L23" s="7"/>
      <c r="M23" s="7"/>
      <c r="N23" s="7"/>
      <c r="O23" s="7"/>
      <c r="P23" s="7"/>
      <c r="Q23" s="7"/>
      <c r="R23" s="7"/>
      <c r="S23" s="7"/>
      <c r="T23" s="7"/>
      <c r="U23" s="7"/>
      <c r="V23" s="7"/>
      <c r="W23" s="7"/>
      <c r="X23" s="7"/>
      <c r="Y23" s="7"/>
      <c r="Z23" s="7"/>
    </row>
    <row r="24" spans="1:26" ht="81" customHeight="1">
      <c r="A24" s="134" t="s">
        <v>654</v>
      </c>
      <c r="B24" s="122" t="s">
        <v>655</v>
      </c>
      <c r="C24" s="122" t="s">
        <v>656</v>
      </c>
      <c r="D24" s="122" t="s">
        <v>657</v>
      </c>
      <c r="E24" s="122" t="s">
        <v>645</v>
      </c>
      <c r="F24" s="121" t="s">
        <v>583</v>
      </c>
      <c r="G24" s="124"/>
      <c r="H24" s="130"/>
      <c r="I24" s="133"/>
      <c r="J24" s="7"/>
      <c r="K24" s="7"/>
      <c r="L24" s="7"/>
      <c r="M24" s="7"/>
      <c r="N24" s="7"/>
      <c r="O24" s="7"/>
      <c r="P24" s="7"/>
      <c r="Q24" s="7"/>
      <c r="R24" s="7"/>
      <c r="S24" s="7"/>
      <c r="T24" s="7"/>
      <c r="U24" s="7"/>
      <c r="V24" s="7"/>
      <c r="W24" s="7"/>
      <c r="X24" s="7"/>
      <c r="Y24" s="7"/>
      <c r="Z24" s="7"/>
    </row>
    <row r="25" spans="1:26" ht="108" customHeight="1">
      <c r="A25" s="121" t="s">
        <v>658</v>
      </c>
      <c r="B25" s="122" t="s">
        <v>659</v>
      </c>
      <c r="C25" s="122" t="s">
        <v>660</v>
      </c>
      <c r="D25" s="122" t="s">
        <v>661</v>
      </c>
      <c r="E25" s="123" t="s">
        <v>645</v>
      </c>
      <c r="F25" s="121" t="s">
        <v>583</v>
      </c>
      <c r="G25" s="124"/>
      <c r="H25" s="135"/>
      <c r="I25" s="133"/>
      <c r="J25" s="7"/>
      <c r="K25" s="7"/>
      <c r="L25" s="7"/>
      <c r="M25" s="7"/>
      <c r="N25" s="7"/>
      <c r="O25" s="7"/>
      <c r="P25" s="7"/>
      <c r="Q25" s="7"/>
      <c r="R25" s="7"/>
      <c r="S25" s="7"/>
      <c r="T25" s="7"/>
      <c r="U25" s="7"/>
      <c r="V25" s="7"/>
      <c r="W25" s="7"/>
      <c r="X25" s="7"/>
      <c r="Y25" s="7"/>
      <c r="Z25" s="7"/>
    </row>
    <row r="26" spans="1:26" ht="120.75" customHeight="1">
      <c r="A26" s="121" t="s">
        <v>662</v>
      </c>
      <c r="B26" s="122" t="s">
        <v>663</v>
      </c>
      <c r="C26" s="122" t="s">
        <v>664</v>
      </c>
      <c r="D26" s="122" t="s">
        <v>665</v>
      </c>
      <c r="E26" s="123" t="s">
        <v>645</v>
      </c>
      <c r="F26" s="121" t="s">
        <v>583</v>
      </c>
      <c r="G26" s="124"/>
      <c r="H26" s="135"/>
      <c r="I26" s="133"/>
      <c r="J26" s="7"/>
      <c r="K26" s="7"/>
      <c r="L26" s="7"/>
      <c r="M26" s="7"/>
      <c r="N26" s="7"/>
      <c r="O26" s="7"/>
      <c r="P26" s="7"/>
      <c r="Q26" s="7"/>
      <c r="R26" s="7"/>
      <c r="S26" s="7"/>
      <c r="T26" s="7"/>
      <c r="U26" s="7"/>
      <c r="V26" s="7"/>
      <c r="W26" s="7"/>
      <c r="X26" s="7"/>
      <c r="Y26" s="7"/>
      <c r="Z26" s="7"/>
    </row>
    <row r="27" spans="1:26" ht="110.25" customHeight="1">
      <c r="A27" s="121" t="s">
        <v>666</v>
      </c>
      <c r="B27" s="122" t="s">
        <v>667</v>
      </c>
      <c r="C27" s="122" t="s">
        <v>668</v>
      </c>
      <c r="D27" s="122" t="s">
        <v>669</v>
      </c>
      <c r="E27" s="123" t="s">
        <v>645</v>
      </c>
      <c r="F27" s="121" t="s">
        <v>583</v>
      </c>
      <c r="G27" s="124"/>
      <c r="H27" s="125"/>
      <c r="I27" s="133"/>
      <c r="J27" s="7"/>
      <c r="K27" s="7"/>
      <c r="L27" s="7"/>
      <c r="M27" s="7"/>
      <c r="N27" s="7"/>
      <c r="O27" s="7"/>
      <c r="P27" s="7"/>
      <c r="Q27" s="7"/>
      <c r="R27" s="7"/>
      <c r="S27" s="7"/>
      <c r="T27" s="7"/>
      <c r="U27" s="7"/>
      <c r="V27" s="7"/>
      <c r="W27" s="7"/>
      <c r="X27" s="7"/>
      <c r="Y27" s="7"/>
      <c r="Z27" s="7"/>
    </row>
    <row r="28" spans="1:26" ht="124.5" customHeight="1">
      <c r="A28" s="121" t="s">
        <v>670</v>
      </c>
      <c r="B28" s="122" t="s">
        <v>671</v>
      </c>
      <c r="C28" s="122" t="s">
        <v>672</v>
      </c>
      <c r="D28" s="122" t="s">
        <v>673</v>
      </c>
      <c r="E28" s="123" t="s">
        <v>645</v>
      </c>
      <c r="F28" s="121" t="s">
        <v>583</v>
      </c>
      <c r="G28" s="124"/>
      <c r="H28" s="125"/>
      <c r="I28" s="133"/>
      <c r="J28" s="7"/>
      <c r="K28" s="7"/>
      <c r="L28" s="7"/>
      <c r="M28" s="7"/>
      <c r="N28" s="7"/>
      <c r="O28" s="7"/>
      <c r="P28" s="7"/>
      <c r="Q28" s="7"/>
      <c r="R28" s="7"/>
      <c r="S28" s="7"/>
      <c r="T28" s="7"/>
      <c r="U28" s="7"/>
      <c r="V28" s="7"/>
      <c r="W28" s="7"/>
      <c r="X28" s="7"/>
      <c r="Y28" s="7"/>
      <c r="Z28" s="7"/>
    </row>
    <row r="29" spans="1:26" ht="114" customHeight="1">
      <c r="A29" s="121" t="s">
        <v>674</v>
      </c>
      <c r="B29" s="122" t="s">
        <v>675</v>
      </c>
      <c r="C29" s="122" t="s">
        <v>676</v>
      </c>
      <c r="D29" s="122" t="s">
        <v>677</v>
      </c>
      <c r="E29" s="123" t="s">
        <v>645</v>
      </c>
      <c r="F29" s="121" t="s">
        <v>583</v>
      </c>
      <c r="G29" s="124"/>
      <c r="H29" s="125"/>
      <c r="I29" s="133"/>
      <c r="J29" s="7"/>
      <c r="K29" s="7"/>
      <c r="L29" s="7"/>
      <c r="M29" s="7"/>
      <c r="N29" s="7"/>
      <c r="O29" s="7"/>
      <c r="P29" s="7"/>
      <c r="Q29" s="7"/>
      <c r="R29" s="7"/>
      <c r="S29" s="7"/>
      <c r="T29" s="7"/>
      <c r="U29" s="7"/>
      <c r="V29" s="7"/>
      <c r="W29" s="7"/>
      <c r="X29" s="7"/>
      <c r="Y29" s="7"/>
      <c r="Z29" s="7"/>
    </row>
    <row r="30" spans="1:26" ht="147.75" customHeight="1">
      <c r="A30" s="121" t="s">
        <v>678</v>
      </c>
      <c r="B30" s="122" t="s">
        <v>679</v>
      </c>
      <c r="C30" s="122" t="s">
        <v>680</v>
      </c>
      <c r="D30" s="122" t="s">
        <v>681</v>
      </c>
      <c r="E30" s="123" t="s">
        <v>645</v>
      </c>
      <c r="F30" s="121" t="s">
        <v>583</v>
      </c>
      <c r="G30" s="124"/>
      <c r="H30" s="125"/>
      <c r="I30" s="133"/>
      <c r="J30" s="7"/>
      <c r="K30" s="7"/>
      <c r="L30" s="7"/>
      <c r="M30" s="7"/>
      <c r="N30" s="7"/>
      <c r="O30" s="7"/>
      <c r="P30" s="7"/>
      <c r="Q30" s="7"/>
      <c r="R30" s="7"/>
      <c r="S30" s="7"/>
      <c r="T30" s="7"/>
      <c r="U30" s="7"/>
      <c r="V30" s="7"/>
      <c r="W30" s="7"/>
      <c r="X30" s="7"/>
      <c r="Y30" s="7"/>
      <c r="Z30" s="7"/>
    </row>
    <row r="31" spans="1:26" ht="149.25" customHeight="1">
      <c r="A31" s="121" t="s">
        <v>682</v>
      </c>
      <c r="B31" s="128" t="s">
        <v>683</v>
      </c>
      <c r="C31" s="128" t="s">
        <v>684</v>
      </c>
      <c r="D31" s="128" t="s">
        <v>685</v>
      </c>
      <c r="E31" s="128" t="s">
        <v>645</v>
      </c>
      <c r="F31" s="21" t="s">
        <v>583</v>
      </c>
      <c r="G31" s="130"/>
      <c r="H31" s="130"/>
      <c r="I31" s="133"/>
      <c r="J31" s="7"/>
      <c r="K31" s="7"/>
      <c r="L31" s="7"/>
      <c r="M31" s="7"/>
      <c r="N31" s="7"/>
      <c r="O31" s="7"/>
      <c r="P31" s="7"/>
      <c r="Q31" s="7"/>
      <c r="R31" s="7"/>
      <c r="S31" s="7"/>
      <c r="T31" s="7"/>
      <c r="U31" s="7"/>
      <c r="V31" s="7"/>
      <c r="W31" s="7"/>
      <c r="X31" s="7"/>
      <c r="Y31" s="7"/>
      <c r="Z31" s="7"/>
    </row>
    <row r="32" spans="1:26" ht="122.25" customHeight="1">
      <c r="A32" s="134" t="s">
        <v>686</v>
      </c>
      <c r="B32" s="122" t="s">
        <v>687</v>
      </c>
      <c r="C32" s="122" t="s">
        <v>688</v>
      </c>
      <c r="D32" s="122" t="s">
        <v>689</v>
      </c>
      <c r="E32" s="122" t="s">
        <v>645</v>
      </c>
      <c r="F32" s="121" t="s">
        <v>583</v>
      </c>
      <c r="G32" s="124"/>
      <c r="H32" s="136"/>
      <c r="I32" s="133"/>
      <c r="J32" s="7"/>
      <c r="K32" s="7"/>
      <c r="L32" s="7"/>
      <c r="M32" s="7"/>
      <c r="N32" s="7"/>
      <c r="O32" s="7"/>
      <c r="P32" s="7"/>
      <c r="Q32" s="7"/>
      <c r="R32" s="7"/>
      <c r="S32" s="7"/>
      <c r="T32" s="7"/>
      <c r="U32" s="7"/>
      <c r="V32" s="7"/>
      <c r="W32" s="7"/>
      <c r="X32" s="7"/>
      <c r="Y32" s="7"/>
      <c r="Z32" s="7"/>
    </row>
    <row r="33" spans="1:26" ht="109.5" customHeight="1">
      <c r="A33" s="134" t="s">
        <v>690</v>
      </c>
      <c r="B33" s="122" t="s">
        <v>691</v>
      </c>
      <c r="C33" s="122" t="s">
        <v>692</v>
      </c>
      <c r="D33" s="122" t="s">
        <v>693</v>
      </c>
      <c r="E33" s="122" t="s">
        <v>645</v>
      </c>
      <c r="F33" s="121" t="s">
        <v>583</v>
      </c>
      <c r="G33" s="124"/>
      <c r="H33" s="136"/>
      <c r="I33" s="133"/>
      <c r="J33" s="7"/>
      <c r="K33" s="7"/>
      <c r="L33" s="7"/>
      <c r="M33" s="7"/>
      <c r="N33" s="7"/>
      <c r="O33" s="7"/>
      <c r="P33" s="7"/>
      <c r="Q33" s="7"/>
      <c r="R33" s="7"/>
      <c r="S33" s="7"/>
      <c r="T33" s="7"/>
      <c r="U33" s="7"/>
      <c r="V33" s="7"/>
      <c r="W33" s="7"/>
      <c r="X33" s="7"/>
      <c r="Y33" s="7"/>
      <c r="Z33" s="7"/>
    </row>
    <row r="34" spans="1:26" ht="147" customHeight="1">
      <c r="A34" s="134" t="s">
        <v>694</v>
      </c>
      <c r="B34" s="122" t="s">
        <v>695</v>
      </c>
      <c r="C34" s="122" t="s">
        <v>696</v>
      </c>
      <c r="D34" s="122" t="s">
        <v>697</v>
      </c>
      <c r="E34" s="122" t="s">
        <v>698</v>
      </c>
      <c r="F34" s="121" t="s">
        <v>583</v>
      </c>
      <c r="G34" s="124"/>
      <c r="H34" s="136"/>
      <c r="I34" s="133"/>
      <c r="J34" s="7"/>
      <c r="K34" s="7"/>
      <c r="L34" s="7"/>
      <c r="M34" s="7"/>
      <c r="N34" s="7"/>
      <c r="O34" s="7"/>
      <c r="P34" s="7"/>
      <c r="Q34" s="7"/>
      <c r="R34" s="7"/>
      <c r="S34" s="7"/>
      <c r="T34" s="7"/>
      <c r="U34" s="7"/>
      <c r="V34" s="7"/>
      <c r="W34" s="7"/>
      <c r="X34" s="7"/>
      <c r="Y34" s="7"/>
      <c r="Z34" s="7"/>
    </row>
    <row r="35" spans="1:26" ht="134.25" customHeight="1">
      <c r="A35" s="134" t="s">
        <v>699</v>
      </c>
      <c r="B35" s="122" t="s">
        <v>700</v>
      </c>
      <c r="C35" s="122" t="s">
        <v>701</v>
      </c>
      <c r="D35" s="122" t="s">
        <v>702</v>
      </c>
      <c r="E35" s="122" t="s">
        <v>703</v>
      </c>
      <c r="F35" s="121" t="s">
        <v>583</v>
      </c>
      <c r="G35" s="124"/>
      <c r="H35" s="136"/>
      <c r="I35" s="133"/>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133"/>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133"/>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133"/>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13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13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13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13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13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13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13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13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13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13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13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13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13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13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13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13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13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13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13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13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13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13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13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13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13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13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13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13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13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13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13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13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13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13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13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13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13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13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13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13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13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13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13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13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13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13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13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13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13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13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13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13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13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13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13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13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13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13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13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13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13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13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13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13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13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13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13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13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13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13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13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13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13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13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13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13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13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13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13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13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13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13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13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13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13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13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13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13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13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13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13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13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13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13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13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13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13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13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13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13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13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13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13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13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13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13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13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13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13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13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13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13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13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13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13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13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13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13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13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13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13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13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13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13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13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13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13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13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13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13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13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13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13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13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13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13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13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13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13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13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13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13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13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13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13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13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13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13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13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13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13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13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13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13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13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13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13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13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13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13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13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13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13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13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13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13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13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13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13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13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13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13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13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13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13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13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13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13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13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13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13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13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13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13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13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13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13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13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13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13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13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13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13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13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13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13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133"/>
      <c r="J235" s="7"/>
      <c r="K235" s="7"/>
      <c r="L235" s="7"/>
      <c r="M235" s="7"/>
      <c r="N235" s="7"/>
      <c r="O235" s="7"/>
      <c r="P235" s="7"/>
      <c r="Q235" s="7"/>
      <c r="R235" s="7"/>
      <c r="S235" s="7"/>
      <c r="T235" s="7"/>
      <c r="U235" s="7"/>
      <c r="V235" s="7"/>
      <c r="W235" s="7"/>
      <c r="X235" s="7"/>
      <c r="Y235" s="7"/>
      <c r="Z235" s="7"/>
    </row>
    <row r="236" spans="1:26" ht="14.25" customHeight="1"/>
    <row r="237" spans="1:26" ht="14.25" customHeight="1"/>
    <row r="238" spans="1:26" ht="14.25" customHeight="1"/>
    <row r="239" spans="1:26" ht="14.25" customHeight="1"/>
    <row r="240" spans="1:26"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2:H2"/>
    <mergeCell ref="B3:H3"/>
    <mergeCell ref="B4:H4"/>
    <mergeCell ref="F5:H5"/>
    <mergeCell ref="F6:H6"/>
  </mergeCells>
  <dataValidations count="1">
    <dataValidation type="list" allowBlank="1" showInputMessage="1" showErrorMessage="1" prompt=" - " sqref="F1 F7:F143" xr:uid="{00000000-0002-0000-0300-000000000000}">
      <formula1>$J$2:$J$6</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4.44140625" defaultRowHeight="15" customHeight="1"/>
  <cols>
    <col min="1" max="1" width="35.109375" customWidth="1"/>
    <col min="2" max="2" width="42.109375" customWidth="1"/>
    <col min="3" max="3" width="39.88671875" customWidth="1"/>
    <col min="4" max="4" width="36.88671875" customWidth="1"/>
    <col min="5" max="5" width="31.109375" customWidth="1"/>
  </cols>
  <sheetData>
    <row r="1" spans="1:26">
      <c r="A1" s="101"/>
      <c r="B1" s="101"/>
      <c r="C1" s="101"/>
      <c r="D1" s="101"/>
      <c r="E1" s="101"/>
      <c r="F1" s="101"/>
      <c r="G1" s="101"/>
      <c r="H1" s="101"/>
      <c r="I1" s="101"/>
      <c r="J1" s="101"/>
      <c r="K1" s="101"/>
      <c r="L1" s="101"/>
      <c r="M1" s="101"/>
      <c r="N1" s="101"/>
      <c r="O1" s="101"/>
      <c r="P1" s="101"/>
      <c r="Q1" s="101"/>
      <c r="R1" s="101"/>
      <c r="S1" s="101"/>
      <c r="T1" s="101"/>
      <c r="U1" s="101"/>
      <c r="V1" s="101"/>
      <c r="W1" s="101"/>
      <c r="X1" s="101"/>
      <c r="Y1" s="101"/>
      <c r="Z1" s="101"/>
    </row>
    <row r="2" spans="1:26">
      <c r="A2" s="137" t="s">
        <v>575</v>
      </c>
      <c r="B2" s="138" t="s">
        <v>704</v>
      </c>
      <c r="C2" s="101"/>
      <c r="D2" s="101"/>
      <c r="E2" s="101"/>
      <c r="F2" s="101"/>
      <c r="G2" s="101"/>
      <c r="H2" s="101"/>
      <c r="I2" s="101"/>
      <c r="J2" s="139" t="s">
        <v>577</v>
      </c>
      <c r="K2" s="101"/>
      <c r="L2" s="101"/>
      <c r="M2" s="101"/>
      <c r="N2" s="101"/>
      <c r="O2" s="101"/>
      <c r="P2" s="101"/>
      <c r="Q2" s="101"/>
      <c r="R2" s="101"/>
      <c r="S2" s="101"/>
      <c r="T2" s="101"/>
      <c r="U2" s="101"/>
      <c r="V2" s="101"/>
      <c r="W2" s="101"/>
      <c r="X2" s="101"/>
      <c r="Y2" s="101"/>
      <c r="Z2" s="101"/>
    </row>
    <row r="3" spans="1:26">
      <c r="A3" s="137" t="s">
        <v>578</v>
      </c>
      <c r="B3" s="138" t="s">
        <v>23</v>
      </c>
      <c r="C3" s="101"/>
      <c r="D3" s="101"/>
      <c r="E3" s="101"/>
      <c r="F3" s="101"/>
      <c r="G3" s="101"/>
      <c r="H3" s="101"/>
      <c r="I3" s="101"/>
      <c r="J3" s="139" t="s">
        <v>580</v>
      </c>
      <c r="K3" s="101"/>
      <c r="L3" s="101"/>
      <c r="M3" s="101"/>
      <c r="N3" s="101"/>
      <c r="O3" s="101"/>
      <c r="P3" s="101"/>
      <c r="Q3" s="101"/>
      <c r="R3" s="101"/>
      <c r="S3" s="101"/>
      <c r="T3" s="101"/>
      <c r="U3" s="101"/>
      <c r="V3" s="101"/>
      <c r="W3" s="101"/>
      <c r="X3" s="101"/>
      <c r="Y3" s="101"/>
      <c r="Z3" s="101"/>
    </row>
    <row r="4" spans="1:26">
      <c r="A4" s="137" t="s">
        <v>581</v>
      </c>
      <c r="B4" s="138" t="s">
        <v>705</v>
      </c>
      <c r="C4" s="101"/>
      <c r="D4" s="101"/>
      <c r="E4" s="101"/>
      <c r="F4" s="101"/>
      <c r="G4" s="101"/>
      <c r="H4" s="101"/>
      <c r="I4" s="101"/>
      <c r="J4" s="139" t="s">
        <v>582</v>
      </c>
      <c r="K4" s="101"/>
      <c r="L4" s="101"/>
      <c r="M4" s="101"/>
      <c r="N4" s="101"/>
      <c r="O4" s="101"/>
      <c r="P4" s="101"/>
      <c r="Q4" s="101"/>
      <c r="R4" s="101"/>
      <c r="S4" s="101"/>
      <c r="T4" s="101"/>
      <c r="U4" s="101"/>
      <c r="V4" s="101"/>
      <c r="W4" s="101"/>
      <c r="X4" s="101"/>
      <c r="Y4" s="101"/>
      <c r="Z4" s="101"/>
    </row>
    <row r="5" spans="1:26">
      <c r="A5" s="140" t="s">
        <v>577</v>
      </c>
      <c r="B5" s="140" t="s">
        <v>580</v>
      </c>
      <c r="C5" s="140" t="s">
        <v>583</v>
      </c>
      <c r="D5" s="140" t="s">
        <v>582</v>
      </c>
      <c r="E5" s="140" t="s">
        <v>584</v>
      </c>
      <c r="F5" s="140" t="s">
        <v>585</v>
      </c>
      <c r="G5" s="101"/>
      <c r="H5" s="101"/>
      <c r="I5" s="101"/>
      <c r="J5" s="139" t="s">
        <v>583</v>
      </c>
      <c r="K5" s="101"/>
      <c r="L5" s="101"/>
      <c r="M5" s="101"/>
      <c r="N5" s="101"/>
      <c r="O5" s="101"/>
      <c r="P5" s="101"/>
      <c r="Q5" s="101"/>
      <c r="R5" s="101"/>
      <c r="S5" s="101"/>
      <c r="T5" s="101"/>
      <c r="U5" s="101"/>
      <c r="V5" s="101"/>
      <c r="W5" s="101"/>
      <c r="X5" s="101"/>
      <c r="Y5" s="101"/>
      <c r="Z5" s="101"/>
    </row>
    <row r="6" spans="1:26">
      <c r="A6" s="141">
        <f>COUNTIF(F9:F996,"Passed")</f>
        <v>0</v>
      </c>
      <c r="B6" s="141">
        <f>COUNTIF(F9:F996,"Failed")</f>
        <v>0</v>
      </c>
      <c r="C6" s="141">
        <f>F6-E6-D6-B6-A6</f>
        <v>26</v>
      </c>
      <c r="D6" s="141">
        <f>COUNTIF(F9:F996,"Blocked")</f>
        <v>0</v>
      </c>
      <c r="E6" s="141">
        <f>COUNTIF(F9:F996,"Skipped")</f>
        <v>0</v>
      </c>
      <c r="F6" s="141">
        <f>COUNTA(A9:A996)</f>
        <v>26</v>
      </c>
      <c r="G6" s="101"/>
      <c r="H6" s="101"/>
      <c r="I6" s="101"/>
      <c r="J6" s="139" t="s">
        <v>584</v>
      </c>
      <c r="K6" s="101"/>
      <c r="L6" s="101"/>
      <c r="M6" s="101"/>
      <c r="N6" s="101"/>
      <c r="O6" s="101"/>
      <c r="P6" s="101"/>
      <c r="Q6" s="101"/>
      <c r="R6" s="101"/>
      <c r="S6" s="101"/>
      <c r="T6" s="101"/>
      <c r="U6" s="101"/>
      <c r="V6" s="101"/>
      <c r="W6" s="101"/>
      <c r="X6" s="101"/>
      <c r="Y6" s="101"/>
      <c r="Z6" s="101"/>
    </row>
    <row r="7" spans="1:26">
      <c r="A7" s="101"/>
      <c r="B7" s="101"/>
      <c r="C7" s="101"/>
      <c r="D7" s="101"/>
      <c r="E7" s="101"/>
      <c r="F7" s="101"/>
      <c r="G7" s="101"/>
      <c r="H7" s="101"/>
      <c r="I7" s="101"/>
      <c r="J7" s="101"/>
      <c r="K7" s="101"/>
      <c r="L7" s="101"/>
      <c r="M7" s="101"/>
      <c r="N7" s="101"/>
      <c r="O7" s="101"/>
      <c r="P7" s="101"/>
      <c r="Q7" s="101"/>
      <c r="R7" s="101"/>
      <c r="S7" s="101"/>
      <c r="T7" s="101"/>
      <c r="U7" s="101"/>
      <c r="V7" s="101"/>
      <c r="W7" s="101"/>
      <c r="X7" s="101"/>
      <c r="Y7" s="101"/>
      <c r="Z7" s="101"/>
    </row>
    <row r="8" spans="1:26">
      <c r="A8" s="140" t="s">
        <v>586</v>
      </c>
      <c r="B8" s="140" t="s">
        <v>587</v>
      </c>
      <c r="C8" s="140" t="s">
        <v>588</v>
      </c>
      <c r="D8" s="140" t="s">
        <v>589</v>
      </c>
      <c r="E8" s="140" t="s">
        <v>590</v>
      </c>
      <c r="F8" s="140" t="s">
        <v>591</v>
      </c>
      <c r="G8" s="140" t="s">
        <v>592</v>
      </c>
      <c r="H8" s="140" t="s">
        <v>96</v>
      </c>
      <c r="I8" s="101"/>
      <c r="J8" s="101"/>
      <c r="K8" s="101"/>
      <c r="L8" s="101"/>
      <c r="M8" s="101"/>
      <c r="N8" s="101"/>
      <c r="O8" s="101"/>
      <c r="P8" s="101"/>
      <c r="Q8" s="101"/>
      <c r="R8" s="101"/>
      <c r="S8" s="101"/>
      <c r="T8" s="101"/>
      <c r="U8" s="101"/>
      <c r="V8" s="101"/>
      <c r="W8" s="101"/>
      <c r="X8" s="101"/>
      <c r="Y8" s="101"/>
      <c r="Z8" s="101"/>
    </row>
    <row r="9" spans="1:26">
      <c r="A9" s="142" t="s">
        <v>706</v>
      </c>
      <c r="B9" s="142" t="s">
        <v>707</v>
      </c>
      <c r="C9" s="142" t="s">
        <v>708</v>
      </c>
      <c r="D9" s="142" t="s">
        <v>709</v>
      </c>
      <c r="E9" s="143" t="s">
        <v>710</v>
      </c>
      <c r="F9" s="144"/>
      <c r="G9" s="145"/>
      <c r="H9" s="146"/>
      <c r="I9" s="101"/>
      <c r="J9" s="101"/>
      <c r="K9" s="101"/>
      <c r="L9" s="101"/>
      <c r="M9" s="101"/>
      <c r="N9" s="101"/>
      <c r="O9" s="101"/>
      <c r="P9" s="101"/>
      <c r="Q9" s="101"/>
      <c r="R9" s="101"/>
      <c r="S9" s="101"/>
      <c r="T9" s="101"/>
      <c r="U9" s="101"/>
      <c r="V9" s="101"/>
      <c r="W9" s="101"/>
      <c r="X9" s="101"/>
      <c r="Y9" s="101"/>
      <c r="Z9" s="101"/>
    </row>
    <row r="10" spans="1:26">
      <c r="A10" s="142" t="s">
        <v>711</v>
      </c>
      <c r="B10" s="142" t="s">
        <v>271</v>
      </c>
      <c r="C10" s="142" t="s">
        <v>712</v>
      </c>
      <c r="D10" s="142" t="s">
        <v>713</v>
      </c>
      <c r="E10" s="143" t="s">
        <v>706</v>
      </c>
      <c r="F10" s="144"/>
      <c r="G10" s="145"/>
      <c r="H10" s="146"/>
      <c r="I10" s="101"/>
      <c r="J10" s="101"/>
      <c r="K10" s="101"/>
      <c r="L10" s="101"/>
      <c r="M10" s="101"/>
      <c r="N10" s="101"/>
      <c r="O10" s="101"/>
      <c r="P10" s="101"/>
      <c r="Q10" s="101"/>
      <c r="R10" s="101"/>
      <c r="S10" s="101"/>
      <c r="T10" s="101"/>
      <c r="U10" s="101"/>
      <c r="V10" s="101"/>
      <c r="W10" s="101"/>
      <c r="X10" s="101"/>
      <c r="Y10" s="101"/>
      <c r="Z10" s="101"/>
    </row>
    <row r="11" spans="1:26">
      <c r="A11" s="142" t="s">
        <v>714</v>
      </c>
      <c r="B11" s="142" t="s">
        <v>715</v>
      </c>
      <c r="C11" s="142" t="s">
        <v>716</v>
      </c>
      <c r="D11" s="142" t="s">
        <v>717</v>
      </c>
      <c r="E11" s="143" t="s">
        <v>706</v>
      </c>
      <c r="F11" s="144"/>
      <c r="G11" s="145"/>
      <c r="H11" s="146"/>
      <c r="I11" s="101"/>
      <c r="J11" s="101"/>
      <c r="K11" s="101"/>
      <c r="L11" s="101"/>
      <c r="M11" s="101"/>
      <c r="N11" s="101"/>
      <c r="O11" s="101"/>
      <c r="P11" s="101"/>
      <c r="Q11" s="101"/>
      <c r="R11" s="101"/>
      <c r="S11" s="101"/>
      <c r="T11" s="101"/>
      <c r="U11" s="101"/>
      <c r="V11" s="101"/>
      <c r="W11" s="101"/>
      <c r="X11" s="101"/>
      <c r="Y11" s="101"/>
      <c r="Z11" s="101"/>
    </row>
    <row r="12" spans="1:26">
      <c r="A12" s="142" t="s">
        <v>718</v>
      </c>
      <c r="B12" s="142" t="s">
        <v>719</v>
      </c>
      <c r="C12" s="142" t="s">
        <v>720</v>
      </c>
      <c r="D12" s="142" t="s">
        <v>721</v>
      </c>
      <c r="E12" s="143" t="s">
        <v>706</v>
      </c>
      <c r="F12" s="144"/>
      <c r="G12" s="145"/>
      <c r="H12" s="146"/>
      <c r="I12" s="101"/>
      <c r="J12" s="101"/>
      <c r="K12" s="101"/>
      <c r="L12" s="101"/>
      <c r="M12" s="101"/>
      <c r="N12" s="101"/>
      <c r="O12" s="101"/>
      <c r="P12" s="101"/>
      <c r="Q12" s="101"/>
      <c r="R12" s="101"/>
      <c r="S12" s="101"/>
      <c r="T12" s="101"/>
      <c r="U12" s="101"/>
      <c r="V12" s="101"/>
      <c r="W12" s="101"/>
      <c r="X12" s="101"/>
      <c r="Y12" s="101"/>
      <c r="Z12" s="101"/>
    </row>
    <row r="13" spans="1:26">
      <c r="A13" s="142" t="s">
        <v>722</v>
      </c>
      <c r="B13" s="142" t="s">
        <v>723</v>
      </c>
      <c r="C13" s="142" t="s">
        <v>724</v>
      </c>
      <c r="D13" s="142" t="s">
        <v>725</v>
      </c>
      <c r="E13" s="143" t="s">
        <v>706</v>
      </c>
      <c r="F13" s="144"/>
      <c r="G13" s="145"/>
      <c r="H13" s="146"/>
      <c r="I13" s="101"/>
      <c r="J13" s="101"/>
      <c r="K13" s="101"/>
      <c r="L13" s="101"/>
      <c r="M13" s="101"/>
      <c r="N13" s="101"/>
      <c r="O13" s="101"/>
      <c r="P13" s="101"/>
      <c r="Q13" s="101"/>
      <c r="R13" s="101"/>
      <c r="S13" s="101"/>
      <c r="T13" s="101"/>
      <c r="U13" s="101"/>
      <c r="V13" s="101"/>
      <c r="W13" s="101"/>
      <c r="X13" s="101"/>
      <c r="Y13" s="101"/>
      <c r="Z13" s="101"/>
    </row>
    <row r="14" spans="1:26">
      <c r="A14" s="142" t="s">
        <v>726</v>
      </c>
      <c r="B14" s="142" t="s">
        <v>278</v>
      </c>
      <c r="C14" s="142" t="s">
        <v>727</v>
      </c>
      <c r="D14" s="142" t="s">
        <v>728</v>
      </c>
      <c r="E14" s="143" t="s">
        <v>714</v>
      </c>
      <c r="F14" s="144"/>
      <c r="G14" s="145"/>
      <c r="H14" s="146"/>
      <c r="I14" s="101"/>
      <c r="J14" s="101"/>
      <c r="K14" s="101"/>
      <c r="L14" s="101"/>
      <c r="M14" s="101"/>
      <c r="N14" s="101"/>
      <c r="O14" s="101"/>
      <c r="P14" s="101"/>
      <c r="Q14" s="101"/>
      <c r="R14" s="101"/>
      <c r="S14" s="101"/>
      <c r="T14" s="101"/>
      <c r="U14" s="101"/>
      <c r="V14" s="101"/>
      <c r="W14" s="101"/>
      <c r="X14" s="101"/>
      <c r="Y14" s="101"/>
      <c r="Z14" s="101"/>
    </row>
    <row r="15" spans="1:26">
      <c r="A15" s="142" t="s">
        <v>729</v>
      </c>
      <c r="B15" s="142" t="s">
        <v>730</v>
      </c>
      <c r="C15" s="142" t="s">
        <v>731</v>
      </c>
      <c r="D15" s="142" t="s">
        <v>732</v>
      </c>
      <c r="E15" s="143" t="s">
        <v>710</v>
      </c>
      <c r="F15" s="144"/>
      <c r="G15" s="145"/>
      <c r="H15" s="146"/>
      <c r="I15" s="101"/>
      <c r="J15" s="101"/>
      <c r="K15" s="101"/>
      <c r="L15" s="101"/>
      <c r="M15" s="101"/>
      <c r="N15" s="101"/>
      <c r="O15" s="101"/>
      <c r="P15" s="101"/>
      <c r="Q15" s="101"/>
      <c r="R15" s="101"/>
      <c r="S15" s="101"/>
      <c r="T15" s="101"/>
      <c r="U15" s="101"/>
      <c r="V15" s="101"/>
      <c r="W15" s="101"/>
      <c r="X15" s="101"/>
      <c r="Y15" s="101"/>
      <c r="Z15" s="101"/>
    </row>
    <row r="16" spans="1:26">
      <c r="A16" s="142" t="s">
        <v>733</v>
      </c>
      <c r="B16" s="142" t="s">
        <v>734</v>
      </c>
      <c r="C16" s="142" t="s">
        <v>735</v>
      </c>
      <c r="D16" s="142" t="s">
        <v>736</v>
      </c>
      <c r="E16" s="143" t="s">
        <v>714</v>
      </c>
      <c r="F16" s="144"/>
      <c r="G16" s="145"/>
      <c r="H16" s="146"/>
      <c r="I16" s="101"/>
      <c r="J16" s="101"/>
      <c r="K16" s="101"/>
      <c r="L16" s="101"/>
      <c r="M16" s="101"/>
      <c r="N16" s="101"/>
      <c r="O16" s="101"/>
      <c r="P16" s="101"/>
      <c r="Q16" s="101"/>
      <c r="R16" s="101"/>
      <c r="S16" s="101"/>
      <c r="T16" s="101"/>
      <c r="U16" s="101"/>
      <c r="V16" s="101"/>
      <c r="W16" s="101"/>
      <c r="X16" s="101"/>
      <c r="Y16" s="101"/>
      <c r="Z16" s="101"/>
    </row>
    <row r="17" spans="1:26">
      <c r="A17" s="142" t="s">
        <v>737</v>
      </c>
      <c r="B17" s="142" t="s">
        <v>738</v>
      </c>
      <c r="C17" s="142" t="s">
        <v>739</v>
      </c>
      <c r="D17" s="142" t="s">
        <v>740</v>
      </c>
      <c r="E17" s="143" t="s">
        <v>706</v>
      </c>
      <c r="F17" s="144"/>
      <c r="G17" s="145"/>
      <c r="H17" s="146"/>
      <c r="I17" s="101"/>
      <c r="J17" s="101"/>
      <c r="K17" s="101"/>
      <c r="L17" s="101"/>
      <c r="M17" s="101"/>
      <c r="N17" s="101"/>
      <c r="O17" s="101"/>
      <c r="P17" s="101"/>
      <c r="Q17" s="101"/>
      <c r="R17" s="101"/>
      <c r="S17" s="101"/>
      <c r="T17" s="101"/>
      <c r="U17" s="101"/>
      <c r="V17" s="101"/>
      <c r="W17" s="101"/>
      <c r="X17" s="101"/>
      <c r="Y17" s="101"/>
      <c r="Z17" s="101"/>
    </row>
    <row r="18" spans="1:26">
      <c r="A18" s="142" t="s">
        <v>741</v>
      </c>
      <c r="B18" s="142" t="s">
        <v>285</v>
      </c>
      <c r="C18" s="142" t="s">
        <v>742</v>
      </c>
      <c r="D18" s="142" t="s">
        <v>743</v>
      </c>
      <c r="E18" s="143" t="s">
        <v>706</v>
      </c>
      <c r="F18" s="144"/>
      <c r="G18" s="145"/>
      <c r="H18" s="146"/>
      <c r="I18" s="101"/>
      <c r="J18" s="101"/>
      <c r="K18" s="101"/>
      <c r="L18" s="101"/>
      <c r="M18" s="101"/>
      <c r="N18" s="101"/>
      <c r="O18" s="101"/>
      <c r="P18" s="101"/>
      <c r="Q18" s="101"/>
      <c r="R18" s="101"/>
      <c r="S18" s="101"/>
      <c r="T18" s="101"/>
      <c r="U18" s="101"/>
      <c r="V18" s="101"/>
      <c r="W18" s="101"/>
      <c r="X18" s="101"/>
      <c r="Y18" s="101"/>
      <c r="Z18" s="101"/>
    </row>
    <row r="19" spans="1:26">
      <c r="A19" s="142" t="s">
        <v>744</v>
      </c>
      <c r="B19" s="142" t="s">
        <v>286</v>
      </c>
      <c r="C19" s="142" t="s">
        <v>745</v>
      </c>
      <c r="D19" s="142" t="s">
        <v>746</v>
      </c>
      <c r="E19" s="143" t="s">
        <v>706</v>
      </c>
      <c r="F19" s="144"/>
      <c r="G19" s="145"/>
      <c r="H19" s="146"/>
      <c r="I19" s="101"/>
      <c r="J19" s="101"/>
      <c r="K19" s="101"/>
      <c r="L19" s="101"/>
      <c r="M19" s="101"/>
      <c r="N19" s="101"/>
      <c r="O19" s="101"/>
      <c r="P19" s="101"/>
      <c r="Q19" s="101"/>
      <c r="R19" s="101"/>
      <c r="S19" s="101"/>
      <c r="T19" s="101"/>
      <c r="U19" s="101"/>
      <c r="V19" s="101"/>
      <c r="W19" s="101"/>
      <c r="X19" s="101"/>
      <c r="Y19" s="101"/>
      <c r="Z19" s="101"/>
    </row>
    <row r="20" spans="1:26">
      <c r="A20" s="142" t="s">
        <v>710</v>
      </c>
      <c r="B20" s="142" t="s">
        <v>747</v>
      </c>
      <c r="C20" s="142" t="s">
        <v>748</v>
      </c>
      <c r="D20" s="142" t="s">
        <v>749</v>
      </c>
      <c r="E20" s="144"/>
      <c r="F20" s="144"/>
      <c r="G20" s="145"/>
      <c r="H20" s="146"/>
      <c r="I20" s="101"/>
      <c r="J20" s="101"/>
      <c r="K20" s="101"/>
      <c r="L20" s="101"/>
      <c r="M20" s="101"/>
      <c r="N20" s="101"/>
      <c r="O20" s="101"/>
      <c r="P20" s="101"/>
      <c r="Q20" s="101"/>
      <c r="R20" s="101"/>
      <c r="S20" s="101"/>
      <c r="T20" s="101"/>
      <c r="U20" s="101"/>
      <c r="V20" s="101"/>
      <c r="W20" s="101"/>
      <c r="X20" s="101"/>
      <c r="Y20" s="101"/>
      <c r="Z20" s="101"/>
    </row>
    <row r="21" spans="1:26">
      <c r="A21" s="142" t="s">
        <v>750</v>
      </c>
      <c r="B21" s="142" t="s">
        <v>290</v>
      </c>
      <c r="C21" s="142" t="s">
        <v>751</v>
      </c>
      <c r="D21" s="142" t="s">
        <v>752</v>
      </c>
      <c r="E21" s="143" t="s">
        <v>710</v>
      </c>
      <c r="F21" s="144"/>
      <c r="G21" s="145"/>
      <c r="H21" s="146"/>
      <c r="I21" s="101"/>
      <c r="J21" s="101"/>
      <c r="K21" s="101"/>
      <c r="L21" s="101"/>
      <c r="M21" s="101"/>
      <c r="N21" s="101"/>
      <c r="O21" s="101"/>
      <c r="P21" s="101"/>
      <c r="Q21" s="101"/>
      <c r="R21" s="101"/>
      <c r="S21" s="101"/>
      <c r="T21" s="101"/>
      <c r="U21" s="101"/>
      <c r="V21" s="101"/>
      <c r="W21" s="101"/>
      <c r="X21" s="101"/>
      <c r="Y21" s="101"/>
      <c r="Z21" s="101"/>
    </row>
    <row r="22" spans="1:26">
      <c r="A22" s="142" t="s">
        <v>753</v>
      </c>
      <c r="B22" s="142" t="s">
        <v>754</v>
      </c>
      <c r="C22" s="142" t="s">
        <v>755</v>
      </c>
      <c r="D22" s="142" t="s">
        <v>756</v>
      </c>
      <c r="E22" s="143" t="s">
        <v>710</v>
      </c>
      <c r="F22" s="144"/>
      <c r="G22" s="145"/>
      <c r="H22" s="146"/>
      <c r="I22" s="101"/>
      <c r="J22" s="101"/>
      <c r="K22" s="101"/>
      <c r="L22" s="101"/>
      <c r="M22" s="101"/>
      <c r="N22" s="101"/>
      <c r="O22" s="101"/>
      <c r="P22" s="101"/>
      <c r="Q22" s="101"/>
      <c r="R22" s="101"/>
      <c r="S22" s="101"/>
      <c r="T22" s="101"/>
      <c r="U22" s="101"/>
      <c r="V22" s="101"/>
      <c r="W22" s="101"/>
      <c r="X22" s="101"/>
      <c r="Y22" s="101"/>
      <c r="Z22" s="101"/>
    </row>
    <row r="23" spans="1:26">
      <c r="A23" s="142" t="s">
        <v>757</v>
      </c>
      <c r="B23" s="142" t="s">
        <v>758</v>
      </c>
      <c r="C23" s="142" t="s">
        <v>759</v>
      </c>
      <c r="D23" s="142" t="s">
        <v>760</v>
      </c>
      <c r="E23" s="143" t="s">
        <v>710</v>
      </c>
      <c r="F23" s="144"/>
      <c r="G23" s="145"/>
      <c r="H23" s="146"/>
      <c r="I23" s="101"/>
      <c r="J23" s="101"/>
      <c r="K23" s="101"/>
      <c r="L23" s="101"/>
      <c r="M23" s="101"/>
      <c r="N23" s="101"/>
      <c r="O23" s="101"/>
      <c r="P23" s="101"/>
      <c r="Q23" s="101"/>
      <c r="R23" s="101"/>
      <c r="S23" s="101"/>
      <c r="T23" s="101"/>
      <c r="U23" s="101"/>
      <c r="V23" s="101"/>
      <c r="W23" s="101"/>
      <c r="X23" s="101"/>
      <c r="Y23" s="101"/>
      <c r="Z23" s="101"/>
    </row>
    <row r="24" spans="1:26">
      <c r="A24" s="142" t="s">
        <v>761</v>
      </c>
      <c r="B24" s="142" t="s">
        <v>762</v>
      </c>
      <c r="C24" s="142" t="s">
        <v>763</v>
      </c>
      <c r="D24" s="142" t="s">
        <v>764</v>
      </c>
      <c r="E24" s="143" t="s">
        <v>710</v>
      </c>
      <c r="F24" s="144"/>
      <c r="G24" s="145"/>
      <c r="H24" s="146"/>
      <c r="I24" s="101"/>
      <c r="J24" s="101"/>
      <c r="K24" s="101"/>
      <c r="L24" s="101"/>
      <c r="M24" s="101"/>
      <c r="N24" s="101"/>
      <c r="O24" s="101"/>
      <c r="P24" s="101"/>
      <c r="Q24" s="101"/>
      <c r="R24" s="101"/>
      <c r="S24" s="101"/>
      <c r="T24" s="101"/>
      <c r="U24" s="101"/>
      <c r="V24" s="101"/>
      <c r="W24" s="101"/>
      <c r="X24" s="101"/>
      <c r="Y24" s="101"/>
      <c r="Z24" s="101"/>
    </row>
    <row r="25" spans="1:26">
      <c r="A25" s="142" t="s">
        <v>765</v>
      </c>
      <c r="B25" s="142" t="s">
        <v>766</v>
      </c>
      <c r="C25" s="142" t="s">
        <v>767</v>
      </c>
      <c r="D25" s="142" t="s">
        <v>768</v>
      </c>
      <c r="E25" s="143" t="s">
        <v>710</v>
      </c>
      <c r="F25" s="144"/>
      <c r="G25" s="145"/>
      <c r="H25" s="146"/>
      <c r="I25" s="101"/>
      <c r="J25" s="101"/>
      <c r="K25" s="101"/>
      <c r="L25" s="101"/>
      <c r="M25" s="101"/>
      <c r="N25" s="101"/>
      <c r="O25" s="101"/>
      <c r="P25" s="101"/>
      <c r="Q25" s="101"/>
      <c r="R25" s="101"/>
      <c r="S25" s="101"/>
      <c r="T25" s="101"/>
      <c r="U25" s="101"/>
      <c r="V25" s="101"/>
      <c r="W25" s="101"/>
      <c r="X25" s="101"/>
      <c r="Y25" s="101"/>
      <c r="Z25" s="101"/>
    </row>
    <row r="26" spans="1:26">
      <c r="A26" s="142" t="s">
        <v>769</v>
      </c>
      <c r="B26" s="142" t="s">
        <v>770</v>
      </c>
      <c r="C26" s="142" t="s">
        <v>771</v>
      </c>
      <c r="D26" s="142" t="s">
        <v>772</v>
      </c>
      <c r="E26" s="143" t="s">
        <v>757</v>
      </c>
      <c r="F26" s="144"/>
      <c r="G26" s="145"/>
      <c r="H26" s="146"/>
      <c r="I26" s="101"/>
      <c r="J26" s="101"/>
      <c r="K26" s="101"/>
      <c r="L26" s="101"/>
      <c r="M26" s="101"/>
      <c r="N26" s="101"/>
      <c r="O26" s="101"/>
      <c r="P26" s="101"/>
      <c r="Q26" s="101"/>
      <c r="R26" s="101"/>
      <c r="S26" s="101"/>
      <c r="T26" s="101"/>
      <c r="U26" s="101"/>
      <c r="V26" s="101"/>
      <c r="W26" s="101"/>
      <c r="X26" s="101"/>
      <c r="Y26" s="101"/>
      <c r="Z26" s="101"/>
    </row>
    <row r="27" spans="1:26">
      <c r="A27" s="142" t="s">
        <v>773</v>
      </c>
      <c r="B27" s="142" t="s">
        <v>774</v>
      </c>
      <c r="C27" s="142" t="s">
        <v>775</v>
      </c>
      <c r="D27" s="142" t="s">
        <v>776</v>
      </c>
      <c r="E27" s="143" t="s">
        <v>710</v>
      </c>
      <c r="F27" s="144"/>
      <c r="G27" s="145"/>
      <c r="H27" s="146"/>
      <c r="I27" s="101"/>
      <c r="J27" s="101"/>
      <c r="K27" s="101"/>
      <c r="L27" s="101"/>
      <c r="M27" s="101"/>
      <c r="N27" s="101"/>
      <c r="O27" s="101"/>
      <c r="P27" s="101"/>
      <c r="Q27" s="101"/>
      <c r="R27" s="101"/>
      <c r="S27" s="101"/>
      <c r="T27" s="101"/>
      <c r="U27" s="101"/>
      <c r="V27" s="101"/>
      <c r="W27" s="101"/>
      <c r="X27" s="101"/>
      <c r="Y27" s="101"/>
      <c r="Z27" s="101"/>
    </row>
    <row r="28" spans="1:26">
      <c r="A28" s="142" t="s">
        <v>777</v>
      </c>
      <c r="B28" s="142" t="s">
        <v>778</v>
      </c>
      <c r="C28" s="142" t="s">
        <v>779</v>
      </c>
      <c r="D28" s="142" t="s">
        <v>780</v>
      </c>
      <c r="E28" s="143" t="s">
        <v>710</v>
      </c>
      <c r="F28" s="144"/>
      <c r="G28" s="145"/>
      <c r="H28" s="146"/>
      <c r="I28" s="101"/>
      <c r="J28" s="101"/>
      <c r="K28" s="101"/>
      <c r="L28" s="101"/>
      <c r="M28" s="101"/>
      <c r="N28" s="101"/>
      <c r="O28" s="101"/>
      <c r="P28" s="101"/>
      <c r="Q28" s="101"/>
      <c r="R28" s="101"/>
      <c r="S28" s="101"/>
      <c r="T28" s="101"/>
      <c r="U28" s="101"/>
      <c r="V28" s="101"/>
      <c r="W28" s="101"/>
      <c r="X28" s="101"/>
      <c r="Y28" s="101"/>
      <c r="Z28" s="101"/>
    </row>
    <row r="29" spans="1:26">
      <c r="A29" s="142" t="s">
        <v>781</v>
      </c>
      <c r="B29" s="142" t="s">
        <v>782</v>
      </c>
      <c r="C29" s="142" t="s">
        <v>783</v>
      </c>
      <c r="D29" s="142" t="s">
        <v>784</v>
      </c>
      <c r="E29" s="143" t="s">
        <v>710</v>
      </c>
      <c r="F29" s="144"/>
      <c r="G29" s="145"/>
      <c r="H29" s="146"/>
      <c r="I29" s="101"/>
      <c r="J29" s="101"/>
      <c r="K29" s="101"/>
      <c r="L29" s="101"/>
      <c r="M29" s="101"/>
      <c r="N29" s="101"/>
      <c r="O29" s="101"/>
      <c r="P29" s="101"/>
      <c r="Q29" s="101"/>
      <c r="R29" s="101"/>
      <c r="S29" s="101"/>
      <c r="T29" s="101"/>
      <c r="U29" s="101"/>
      <c r="V29" s="101"/>
      <c r="W29" s="101"/>
      <c r="X29" s="101"/>
      <c r="Y29" s="101"/>
      <c r="Z29" s="101"/>
    </row>
    <row r="30" spans="1:26">
      <c r="A30" s="142" t="s">
        <v>785</v>
      </c>
      <c r="B30" s="142" t="s">
        <v>786</v>
      </c>
      <c r="C30" s="142" t="s">
        <v>787</v>
      </c>
      <c r="D30" s="142" t="s">
        <v>788</v>
      </c>
      <c r="E30" s="143" t="s">
        <v>781</v>
      </c>
      <c r="F30" s="144"/>
      <c r="G30" s="145"/>
      <c r="H30" s="146"/>
      <c r="I30" s="101"/>
      <c r="J30" s="101"/>
      <c r="K30" s="101"/>
      <c r="L30" s="101"/>
      <c r="M30" s="101"/>
      <c r="N30" s="101"/>
      <c r="O30" s="101"/>
      <c r="P30" s="101"/>
      <c r="Q30" s="101"/>
      <c r="R30" s="101"/>
      <c r="S30" s="101"/>
      <c r="T30" s="101"/>
      <c r="U30" s="101"/>
      <c r="V30" s="101"/>
      <c r="W30" s="101"/>
      <c r="X30" s="101"/>
      <c r="Y30" s="101"/>
      <c r="Z30" s="101"/>
    </row>
    <row r="31" spans="1:26">
      <c r="A31" s="142" t="s">
        <v>789</v>
      </c>
      <c r="B31" s="142" t="s">
        <v>790</v>
      </c>
      <c r="C31" s="142" t="s">
        <v>791</v>
      </c>
      <c r="D31" s="142" t="s">
        <v>792</v>
      </c>
      <c r="E31" s="143" t="s">
        <v>714</v>
      </c>
      <c r="F31" s="144"/>
      <c r="G31" s="145"/>
      <c r="H31" s="146"/>
      <c r="I31" s="101"/>
      <c r="J31" s="101"/>
      <c r="K31" s="101"/>
      <c r="L31" s="101"/>
      <c r="M31" s="101"/>
      <c r="N31" s="101"/>
      <c r="O31" s="101"/>
      <c r="P31" s="101"/>
      <c r="Q31" s="101"/>
      <c r="R31" s="101"/>
      <c r="S31" s="101"/>
      <c r="T31" s="101"/>
      <c r="U31" s="101"/>
      <c r="V31" s="101"/>
      <c r="W31" s="101"/>
      <c r="X31" s="101"/>
      <c r="Y31" s="101"/>
      <c r="Z31" s="101"/>
    </row>
    <row r="32" spans="1:26">
      <c r="A32" s="142" t="s">
        <v>793</v>
      </c>
      <c r="B32" s="142" t="s">
        <v>794</v>
      </c>
      <c r="C32" s="142" t="s">
        <v>795</v>
      </c>
      <c r="D32" s="142" t="s">
        <v>796</v>
      </c>
      <c r="E32" s="143" t="s">
        <v>714</v>
      </c>
      <c r="F32" s="144"/>
      <c r="G32" s="145"/>
      <c r="H32" s="146"/>
      <c r="I32" s="101"/>
      <c r="J32" s="101"/>
      <c r="K32" s="101"/>
      <c r="L32" s="101"/>
      <c r="M32" s="101"/>
      <c r="N32" s="101"/>
      <c r="O32" s="101"/>
      <c r="P32" s="101"/>
      <c r="Q32" s="101"/>
      <c r="R32" s="101"/>
      <c r="S32" s="101"/>
      <c r="T32" s="101"/>
      <c r="U32" s="101"/>
      <c r="V32" s="101"/>
      <c r="W32" s="101"/>
      <c r="X32" s="101"/>
      <c r="Y32" s="101"/>
      <c r="Z32" s="101"/>
    </row>
    <row r="33" spans="1:26">
      <c r="A33" s="142" t="s">
        <v>797</v>
      </c>
      <c r="B33" s="142" t="s">
        <v>798</v>
      </c>
      <c r="C33" s="142" t="s">
        <v>799</v>
      </c>
      <c r="D33" s="142" t="s">
        <v>800</v>
      </c>
      <c r="E33" s="143" t="s">
        <v>714</v>
      </c>
      <c r="F33" s="144"/>
      <c r="G33" s="145"/>
      <c r="H33" s="146"/>
      <c r="I33" s="101"/>
      <c r="J33" s="101"/>
      <c r="K33" s="101"/>
      <c r="L33" s="101"/>
      <c r="M33" s="101"/>
      <c r="N33" s="101"/>
      <c r="O33" s="101"/>
      <c r="P33" s="101"/>
      <c r="Q33" s="101"/>
      <c r="R33" s="101"/>
      <c r="S33" s="101"/>
      <c r="T33" s="101"/>
      <c r="U33" s="101"/>
      <c r="V33" s="101"/>
      <c r="W33" s="101"/>
      <c r="X33" s="101"/>
      <c r="Y33" s="101"/>
      <c r="Z33" s="101"/>
    </row>
    <row r="34" spans="1:26">
      <c r="A34" s="142" t="s">
        <v>801</v>
      </c>
      <c r="B34" s="142" t="s">
        <v>802</v>
      </c>
      <c r="C34" s="142" t="s">
        <v>803</v>
      </c>
      <c r="D34" s="142" t="s">
        <v>804</v>
      </c>
      <c r="E34" s="143" t="s">
        <v>714</v>
      </c>
      <c r="F34" s="144"/>
      <c r="G34" s="145"/>
      <c r="H34" s="146"/>
      <c r="I34" s="101"/>
      <c r="J34" s="101"/>
      <c r="K34" s="101"/>
      <c r="L34" s="101"/>
      <c r="M34" s="101"/>
      <c r="N34" s="101"/>
      <c r="O34" s="101"/>
      <c r="P34" s="101"/>
      <c r="Q34" s="101"/>
      <c r="R34" s="101"/>
      <c r="S34" s="101"/>
      <c r="T34" s="101"/>
      <c r="U34" s="101"/>
      <c r="V34" s="101"/>
      <c r="W34" s="101"/>
      <c r="X34" s="101"/>
      <c r="Y34" s="101"/>
      <c r="Z34" s="101"/>
    </row>
    <row r="35" spans="1:26">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spans="1:26">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spans="1:26">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spans="1:26">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spans="1:26">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spans="1:26">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spans="1:26">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spans="1:26">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spans="1:26">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spans="1:26">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spans="1:26">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spans="1:26">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spans="1:26">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spans="1:26">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spans="1:26">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spans="1:26">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spans="1:26">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spans="1:26">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spans="1:26">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spans="1:26">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spans="1:26">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spans="1:26">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spans="1:26">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spans="1:26">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spans="1:26">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spans="1:26">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spans="1:26">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spans="1:26">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spans="1:26">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spans="1:26">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spans="1:26">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spans="1:26">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spans="1:26">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spans="1:26">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spans="1:26">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spans="1:26">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spans="1:26">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spans="1:26">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spans="1:26">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spans="1:26">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spans="1:26">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spans="1:26">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spans="1:26">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spans="1:26">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spans="1:26">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spans="1:26">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spans="1:26">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spans="1:26">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spans="1:26">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spans="1:26">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spans="1:26">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spans="1:26">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spans="1:26">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spans="1:26">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spans="1:26">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spans="1:26">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spans="1:26">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spans="1:26">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spans="1:26">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spans="1:26">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spans="1:26">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spans="1:26">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spans="1:26">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spans="1:26">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spans="1:26">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spans="1:26">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spans="1:26">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spans="1:26">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spans="1:26">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spans="1:26">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spans="1:26">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spans="1:26">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spans="1:26">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spans="1:26">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spans="1:26">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spans="1:26">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spans="1:26">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spans="1:26">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spans="1:26">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spans="1:26">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spans="1:26">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spans="1:26">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spans="1:26">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spans="1:26">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spans="1:26">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spans="1:26">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spans="1:26">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spans="1:26">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spans="1:26">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spans="1:26">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spans="1:26">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spans="1:26">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spans="1:26">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spans="1:26">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spans="1:26">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spans="1:26">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spans="1:26">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spans="1:26">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spans="1:26">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spans="1:26">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spans="1:26">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spans="1:26">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spans="1:26">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spans="1:26">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spans="1:26">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spans="1:26">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spans="1:26">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spans="1:26">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spans="1:26">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spans="1:26">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spans="1:26">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spans="1:26">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spans="1:26">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spans="1:26">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spans="1:26">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spans="1:26">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spans="1:26">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spans="1:26">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spans="1:26">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spans="1:26">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spans="1:26">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spans="1:26">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spans="1:26">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spans="1:26">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spans="1:26">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spans="1:26">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spans="1:26">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spans="1:26">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spans="1:26">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spans="1:26">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spans="1:26">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spans="1:26">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spans="1:26">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spans="1:26">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spans="1:26">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spans="1:26">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spans="1:26">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spans="1:26">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spans="1:26">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spans="1:2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spans="1:26">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spans="1:26">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spans="1:26">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spans="1:26">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spans="1:26">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spans="1:26">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spans="1:26">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spans="1:26">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spans="1:26">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spans="1:2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spans="1:26">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spans="1:26">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spans="1:26">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spans="1:26">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spans="1:26">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spans="1:26">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spans="1:26">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spans="1:26">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spans="1:26">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spans="1:2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spans="1:26">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spans="1:26">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spans="1:26">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spans="1:26">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spans="1:26">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spans="1:26">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spans="1:26">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spans="1:26">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spans="1:26">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spans="1:2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spans="1:26">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spans="1:26">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spans="1:26">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spans="1:26">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spans="1:26">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spans="1:26">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spans="1:26">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spans="1:26">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spans="1:26">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spans="1:2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spans="1:26">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spans="1:26">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spans="1:26">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spans="1:26">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spans="1:26">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spans="1:26">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spans="1:26">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spans="1:26">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spans="1:26">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spans="1: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spans="1:26">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spans="1:26">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spans="1:26">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spans="1:26">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spans="1:26">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spans="1:26">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spans="1:26">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spans="1:26">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spans="1:26">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spans="1:2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spans="1:26">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spans="1:26">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spans="1:26">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spans="1:26">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spans="1:26">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spans="1:26">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spans="1:26">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spans="1:26">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spans="1:26">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spans="1:2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spans="1:26">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spans="1:26">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spans="1:26">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spans="1:26">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spans="1:26">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spans="1:26">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spans="1:26">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spans="1:26">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spans="1:26">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spans="1:2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spans="1:26">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spans="1:26">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spans="1:26">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spans="1:26">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spans="1:26">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spans="1:26">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spans="1:26">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spans="1:26">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spans="1:26">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spans="1:2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spans="1:26">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spans="1:26">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spans="1:26">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spans="1:26">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spans="1:26">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spans="1:26">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spans="1:26">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spans="1:26">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spans="1:26">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spans="1:2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spans="1:26">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spans="1:26">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spans="1:26">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spans="1:26">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spans="1:26">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spans="1:26">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spans="1:26">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spans="1:26">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spans="1:26">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spans="1:2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spans="1:26">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spans="1:26">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spans="1:26">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spans="1:26">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spans="1:26">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spans="1:26">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spans="1:26">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spans="1:26">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spans="1:26">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spans="1:2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spans="1:26">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spans="1:26">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spans="1:26">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spans="1:26">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spans="1:26">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spans="1:26">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spans="1:26">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spans="1:26">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spans="1:26">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spans="1:2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spans="1:26">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spans="1:26">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spans="1:26">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spans="1:26">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spans="1:26">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spans="1:26">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spans="1:26">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spans="1:26">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spans="1:26">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spans="1:2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spans="1:26">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spans="1:26">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spans="1:26">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spans="1:26">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spans="1:26">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spans="1:26">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spans="1:26">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spans="1:26">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spans="1:26">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spans="1: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spans="1:26">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spans="1:26">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spans="1:26">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spans="1:26">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spans="1:26">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spans="1:26">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spans="1:26">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spans="1:26">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spans="1:26">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spans="1:2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spans="1:26">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spans="1:26">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spans="1:26">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spans="1:26">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spans="1:26">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spans="1:26">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spans="1:26">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spans="1:26">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spans="1:26">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spans="1:2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spans="1:26">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spans="1:26">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spans="1:26">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spans="1:26">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spans="1:26">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spans="1:26">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spans="1:26">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spans="1:26">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spans="1:26">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spans="1:2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spans="1:26">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spans="1:26">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spans="1:26">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spans="1:26">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spans="1:26">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spans="1:26">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spans="1:26">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spans="1:26">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spans="1:26">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spans="1:2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spans="1:26">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spans="1:26">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spans="1:26">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spans="1:26">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spans="1:26">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spans="1:26">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spans="1:26">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spans="1:26">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spans="1:26">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spans="1:2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spans="1:26">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spans="1:26">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spans="1:26">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spans="1:26">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spans="1:26">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spans="1:26">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spans="1:26">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spans="1:26">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spans="1:26">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spans="1:2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spans="1:26">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spans="1:26">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spans="1:26">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spans="1:26">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spans="1:26">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spans="1:26">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spans="1:26">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spans="1:26">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spans="1:26">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spans="1:2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spans="1:26">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spans="1:26">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spans="1:26">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spans="1:26">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spans="1:26">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spans="1:26">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spans="1:26">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spans="1:26">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spans="1:26">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spans="1:2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spans="1:26">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spans="1:26">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spans="1:26">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spans="1:26">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spans="1:26">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spans="1:26">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spans="1:26">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spans="1:26">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spans="1:26">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spans="1:2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spans="1:26">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spans="1:26">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spans="1:26">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spans="1:26">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spans="1:26">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spans="1:26">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spans="1:26">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spans="1:26">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spans="1:26">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spans="1: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spans="1:26">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spans="1:26">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spans="1:26">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spans="1:26">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spans="1:26">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spans="1:26">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spans="1:26">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spans="1:26">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spans="1:26">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spans="1:2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spans="1:26">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spans="1:26">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spans="1:26">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spans="1:26">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spans="1:26">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spans="1:26">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spans="1:26">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spans="1:26">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spans="1:26">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spans="1:2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spans="1:26">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spans="1:26">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spans="1:26">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spans="1:26">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spans="1:26">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spans="1:26">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spans="1:26">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spans="1:26">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spans="1:26">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spans="1:2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spans="1:26">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spans="1:26">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spans="1:26">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spans="1:26">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spans="1:26">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spans="1:26">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spans="1:26">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spans="1:26">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spans="1:26">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spans="1:2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spans="1:26">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spans="1:26">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spans="1:26">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spans="1:26">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spans="1:26">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spans="1:26">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spans="1:26">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spans="1:26">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spans="1:26">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spans="1:2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spans="1:26">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spans="1:26">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spans="1:26">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spans="1:26">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spans="1:26">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spans="1:26">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spans="1:26">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spans="1:26">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spans="1:26">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spans="1:2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spans="1:26">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spans="1:26">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spans="1:26">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spans="1:26">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spans="1:26">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spans="1:26">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spans="1:26">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spans="1:26">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spans="1:26">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spans="1:2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spans="1:26">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spans="1:26">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spans="1:26">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spans="1:26">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spans="1:26">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spans="1:26">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spans="1:26">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spans="1:26">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spans="1:26">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spans="1:2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spans="1:26">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spans="1:26">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spans="1:26">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spans="1:26">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spans="1:26">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spans="1:26">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spans="1:26">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spans="1:26">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spans="1:26">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spans="1:2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spans="1:26">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spans="1:26">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spans="1:26">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spans="1:26">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spans="1:26">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spans="1:26">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spans="1:26">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spans="1:26">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spans="1:26">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spans="1: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spans="1:26">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spans="1:26">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spans="1:26">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spans="1:26">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spans="1:26">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spans="1:26">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spans="1:26">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spans="1:26">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spans="1:26">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spans="1:2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spans="1:26">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spans="1:26">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spans="1:26">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spans="1:26">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spans="1:26">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spans="1:26">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spans="1:26">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spans="1:26">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spans="1:26">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spans="1:2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spans="1:26">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spans="1:26">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spans="1:26">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spans="1:26">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spans="1:26">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spans="1:26">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spans="1:26">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spans="1:26">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spans="1:26">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spans="1:2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spans="1:26">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spans="1:26">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spans="1:26">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spans="1:26">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spans="1:26">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spans="1:26">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spans="1:26">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spans="1:26">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spans="1:26">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spans="1:2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spans="1:26">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spans="1:26">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spans="1:26">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spans="1:26">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spans="1:26">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spans="1:26">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spans="1:26">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spans="1:26">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spans="1:26">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spans="1:2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spans="1:26">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spans="1:26">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spans="1:26">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spans="1:26">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spans="1:26">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spans="1:26">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spans="1:26">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spans="1:26">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spans="1:26">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spans="1:2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spans="1:26">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spans="1:26">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spans="1:26">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spans="1:26">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spans="1:26">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spans="1:26">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spans="1:26">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spans="1:26">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spans="1:26">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spans="1:2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spans="1:26">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spans="1:26">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spans="1:26">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spans="1:26">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spans="1:26">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spans="1:26">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spans="1:26">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spans="1:26">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spans="1:26">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spans="1:2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spans="1:26">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spans="1:26">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spans="1:26">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spans="1:26">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spans="1:26">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spans="1:26">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spans="1:26">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spans="1:26">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spans="1:26">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spans="1:2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spans="1:26">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spans="1:26">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spans="1:26">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spans="1:26">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spans="1:26">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spans="1:26">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spans="1:26">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spans="1:26">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spans="1:26">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spans="1: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spans="1:26">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spans="1:26">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spans="1:26">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spans="1:26">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spans="1:26">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spans="1:26">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spans="1:26">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spans="1:26">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spans="1:26">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spans="1:2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spans="1:26">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spans="1:26">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spans="1:26">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spans="1:26">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spans="1:26">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spans="1:26">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spans="1:26">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spans="1:26">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spans="1:26">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spans="1:2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spans="1:26">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spans="1:26">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spans="1:26">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spans="1:26">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spans="1:26">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spans="1:26">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spans="1:26">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spans="1:26">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spans="1:26">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spans="1:2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spans="1:26">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spans="1:26">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spans="1:26">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spans="1:26">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spans="1:26">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spans="1:26">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spans="1:26">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spans="1:26">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spans="1:26">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spans="1:2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spans="1:26">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spans="1:26">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spans="1:26">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spans="1:26">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spans="1:26">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spans="1:26">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spans="1:26">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spans="1:26">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spans="1:26">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spans="1:2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spans="1:26">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spans="1:26">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spans="1:26">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spans="1:26">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spans="1:26">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spans="1:26">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spans="1:26">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spans="1:26">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spans="1:26">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spans="1:2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spans="1:26">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spans="1:26">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spans="1:26">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spans="1:26">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spans="1:26">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spans="1:26">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spans="1:26">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spans="1:26">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spans="1:26">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spans="1:2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spans="1:26">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spans="1:26">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spans="1:26">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spans="1:26">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spans="1:26">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spans="1:26">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spans="1:26">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spans="1:26">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spans="1:26">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spans="1:2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spans="1:26">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spans="1:26">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spans="1:26">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spans="1:26">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spans="1:26">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spans="1:26">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spans="1:26">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spans="1:26">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spans="1:26">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spans="1:2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spans="1:26">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spans="1:26">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spans="1:26">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spans="1:26">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spans="1:26">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spans="1:26">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spans="1:26">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spans="1:26">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spans="1:26">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spans="1: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spans="1:26">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spans="1:26">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spans="1:26">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spans="1:26">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spans="1:26">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spans="1:26">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spans="1:26">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spans="1:26">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spans="1:26">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spans="1:2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spans="1:26">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spans="1:26">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spans="1:26">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spans="1:26">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spans="1:26">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spans="1:26">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spans="1:26">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spans="1:26">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spans="1:26">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spans="1:2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spans="1:26">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spans="1:26">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spans="1:26">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spans="1:26">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spans="1:26">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spans="1:26">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spans="1:26">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spans="1:26">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spans="1:26">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spans="1:2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spans="1:26">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spans="1:26">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spans="1:26">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spans="1:26">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spans="1:26">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spans="1:26">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spans="1:26">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spans="1:26">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spans="1:26">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spans="1:2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spans="1:26">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spans="1:26">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spans="1:26">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spans="1:26">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spans="1:26">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spans="1:26">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spans="1:26">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spans="1:26">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spans="1:26">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spans="1:2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spans="1:26">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spans="1:26">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spans="1:26">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spans="1:26">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spans="1:26">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spans="1:26">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spans="1:26">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spans="1:26">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spans="1:26">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spans="1:2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spans="1:26">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spans="1:26">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spans="1:26">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spans="1:26">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spans="1:26">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spans="1:26">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spans="1:26">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spans="1:26">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spans="1:26">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spans="1:2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spans="1:26">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spans="1:26">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spans="1:26">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spans="1:26">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spans="1:26">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spans="1:26">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spans="1:26">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spans="1:26">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spans="1:26">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spans="1:2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spans="1:26">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spans="1:26">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spans="1:26">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spans="1:26">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spans="1:26">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spans="1:26">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spans="1:26">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spans="1:26">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spans="1:26">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spans="1:2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spans="1:26">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spans="1:26">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spans="1:26">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spans="1:26">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spans="1:26">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spans="1:26">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spans="1:26">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spans="1:26">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spans="1:26">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spans="1: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spans="1:26">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spans="1:26">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spans="1:26">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spans="1:26">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spans="1:26">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spans="1:26">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spans="1:26">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spans="1:26">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spans="1:26">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spans="1:2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spans="1:26">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spans="1:26">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spans="1:26">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spans="1:26">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spans="1:26">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spans="1:26">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spans="1:26">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spans="1:26">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spans="1:26">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spans="1:2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spans="1:26">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spans="1:26">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spans="1:26">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spans="1:26">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spans="1:26">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spans="1:26">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spans="1:26">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spans="1:26">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spans="1:26">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spans="1:2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spans="1:26">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spans="1:26">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spans="1:26">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spans="1:26">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spans="1:26">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spans="1:26">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spans="1:26">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spans="1:26">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spans="1:26">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spans="1:2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spans="1:26">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spans="1:26">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spans="1:26">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spans="1:26">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spans="1:26">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spans="1:26">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spans="1:26">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spans="1:26">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spans="1:26">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spans="1:2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spans="1:26">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spans="1:26">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spans="1:26">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spans="1:26">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spans="1:26">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spans="1:26">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spans="1:26">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spans="1:26">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spans="1:26">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spans="1:2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spans="1:26">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spans="1:26">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spans="1:26">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spans="1:26">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spans="1:26">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spans="1:26">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spans="1:26">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spans="1:26">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spans="1:26">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spans="1:2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spans="1:26">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spans="1:26">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spans="1:26">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spans="1:26">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spans="1:26">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spans="1:26">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spans="1:26">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spans="1:26">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spans="1:26">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spans="1:2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spans="1:26">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spans="1:26">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spans="1:26">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spans="1:26">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spans="1:26">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spans="1:26">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spans="1:26">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spans="1:26">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spans="1:26">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spans="1:2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spans="1:26">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spans="1:26">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spans="1:26">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spans="1:26">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spans="1:26">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spans="1:26">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spans="1:26">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spans="1:26">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spans="1:26">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spans="1: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spans="1:26">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spans="1:26">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spans="1:26">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spans="1:26">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spans="1:26">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spans="1:26">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spans="1:26">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spans="1:26">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spans="1:26">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spans="1:2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spans="1:26">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spans="1:26">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spans="1:26">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spans="1:26">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spans="1:26">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spans="1:26">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spans="1:26">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spans="1:26">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spans="1:26">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spans="1:2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spans="1:26">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spans="1:26">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spans="1:26">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spans="1:26">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spans="1:26">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spans="1:26">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spans="1:26">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spans="1:26">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spans="1:26">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spans="1:2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spans="1:26">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spans="1:26">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spans="1:26">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spans="1:26">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spans="1:26">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spans="1:26">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spans="1:26">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spans="1:26">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spans="1:26">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spans="1:2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spans="1:26">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spans="1:26">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spans="1:26">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spans="1:26">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spans="1:26">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spans="1:26">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spans="1:26">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spans="1:26">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spans="1:26">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spans="1:2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spans="1:26">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spans="1:26">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spans="1:26">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spans="1:26">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spans="1:26">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spans="1:26">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spans="1:26">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spans="1:26">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spans="1:26">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spans="1:2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spans="1:26">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spans="1:26">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spans="1:26">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spans="1:26">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spans="1:26">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spans="1:26">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spans="1:26">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spans="1:26">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spans="1:26">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row r="996" spans="1:26">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row>
    <row r="997" spans="1:26">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row>
    <row r="998" spans="1:26">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row>
    <row r="999" spans="1:26">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row>
    <row r="1000" spans="1:26">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sheetData>
  <dataValidations count="1">
    <dataValidation type="list" allowBlank="1" sqref="F9:F996" xr:uid="{00000000-0002-0000-0400-000000000000}">
      <formula1>$J$2:$J$6</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38"/>
  <sheetViews>
    <sheetView workbookViewId="0"/>
  </sheetViews>
  <sheetFormatPr defaultColWidth="14.44140625" defaultRowHeight="15" customHeight="1"/>
  <cols>
    <col min="1" max="1" width="21.109375" customWidth="1"/>
    <col min="2" max="2" width="29" customWidth="1"/>
    <col min="3" max="3" width="53.5546875" customWidth="1"/>
    <col min="4" max="4" width="56.6640625" customWidth="1"/>
    <col min="5" max="5" width="22.88671875" customWidth="1"/>
    <col min="6" max="6" width="23.6640625" customWidth="1"/>
    <col min="7" max="7" width="10.88671875" customWidth="1"/>
    <col min="8" max="8" width="20.5546875" customWidth="1"/>
  </cols>
  <sheetData>
    <row r="1" spans="1:8">
      <c r="A1" s="147"/>
      <c r="B1" s="148"/>
      <c r="C1" s="148"/>
      <c r="D1" s="148"/>
      <c r="E1" s="148"/>
      <c r="F1" s="148"/>
      <c r="G1" s="149"/>
      <c r="H1" s="150"/>
    </row>
    <row r="2" spans="1:8">
      <c r="A2" s="151" t="s">
        <v>575</v>
      </c>
      <c r="B2" s="217" t="s">
        <v>805</v>
      </c>
      <c r="C2" s="198"/>
      <c r="D2" s="198"/>
      <c r="E2" s="198"/>
      <c r="F2" s="198"/>
      <c r="G2" s="198"/>
      <c r="H2" s="199"/>
    </row>
    <row r="3" spans="1:8">
      <c r="A3" s="151" t="s">
        <v>578</v>
      </c>
      <c r="B3" s="217" t="s">
        <v>27</v>
      </c>
      <c r="C3" s="198"/>
      <c r="D3" s="198"/>
      <c r="E3" s="198"/>
      <c r="F3" s="198"/>
      <c r="G3" s="198"/>
      <c r="H3" s="199"/>
    </row>
    <row r="4" spans="1:8">
      <c r="A4" s="151" t="s">
        <v>581</v>
      </c>
      <c r="B4" s="217" t="s">
        <v>806</v>
      </c>
      <c r="C4" s="198"/>
      <c r="D4" s="198"/>
      <c r="E4" s="198"/>
      <c r="F4" s="198"/>
      <c r="G4" s="198"/>
      <c r="H4" s="199"/>
    </row>
    <row r="5" spans="1:8">
      <c r="A5" s="152" t="s">
        <v>577</v>
      </c>
      <c r="B5" s="153" t="s">
        <v>580</v>
      </c>
      <c r="C5" s="153" t="s">
        <v>583</v>
      </c>
      <c r="D5" s="153" t="s">
        <v>582</v>
      </c>
      <c r="E5" s="154" t="s">
        <v>584</v>
      </c>
      <c r="F5" s="218" t="s">
        <v>585</v>
      </c>
      <c r="G5" s="198"/>
      <c r="H5" s="199"/>
    </row>
    <row r="6" spans="1:8">
      <c r="A6" s="155">
        <v>0</v>
      </c>
      <c r="B6" s="156">
        <v>0</v>
      </c>
      <c r="C6" s="156">
        <v>29</v>
      </c>
      <c r="D6" s="156">
        <v>0</v>
      </c>
      <c r="E6" s="157">
        <v>0</v>
      </c>
      <c r="F6" s="219">
        <v>29</v>
      </c>
      <c r="G6" s="198"/>
      <c r="H6" s="199"/>
    </row>
    <row r="8" spans="1:8">
      <c r="A8" s="158"/>
      <c r="B8" s="158"/>
      <c r="C8" s="158"/>
      <c r="D8" s="159"/>
      <c r="E8" s="159"/>
      <c r="F8" s="159"/>
      <c r="G8" s="159"/>
      <c r="H8" s="159"/>
    </row>
    <row r="9" spans="1:8">
      <c r="A9" s="160" t="s">
        <v>586</v>
      </c>
      <c r="B9" s="160" t="s">
        <v>587</v>
      </c>
      <c r="C9" s="160" t="s">
        <v>588</v>
      </c>
      <c r="D9" s="160" t="s">
        <v>589</v>
      </c>
      <c r="E9" s="161" t="s">
        <v>590</v>
      </c>
      <c r="F9" s="161" t="s">
        <v>591</v>
      </c>
      <c r="G9" s="161" t="s">
        <v>592</v>
      </c>
      <c r="H9" s="160" t="s">
        <v>96</v>
      </c>
    </row>
    <row r="10" spans="1:8">
      <c r="A10" s="162" t="s">
        <v>807</v>
      </c>
      <c r="B10" s="163" t="s">
        <v>350</v>
      </c>
      <c r="C10" s="163" t="s">
        <v>808</v>
      </c>
      <c r="D10" s="163" t="s">
        <v>809</v>
      </c>
      <c r="E10" s="164"/>
      <c r="F10" s="165"/>
      <c r="G10" s="165"/>
      <c r="H10" s="165"/>
    </row>
    <row r="11" spans="1:8">
      <c r="A11" s="162" t="s">
        <v>810</v>
      </c>
      <c r="B11" s="163" t="s">
        <v>811</v>
      </c>
      <c r="C11" s="163" t="s">
        <v>812</v>
      </c>
      <c r="D11" s="163" t="s">
        <v>813</v>
      </c>
      <c r="E11" s="166" t="s">
        <v>807</v>
      </c>
      <c r="F11" s="165"/>
      <c r="G11" s="165"/>
      <c r="H11" s="165"/>
    </row>
    <row r="12" spans="1:8">
      <c r="A12" s="162" t="s">
        <v>814</v>
      </c>
      <c r="B12" s="163" t="s">
        <v>815</v>
      </c>
      <c r="C12" s="163" t="s">
        <v>816</v>
      </c>
      <c r="D12" s="163" t="s">
        <v>817</v>
      </c>
      <c r="E12" s="166" t="s">
        <v>807</v>
      </c>
      <c r="F12" s="165"/>
      <c r="G12" s="165"/>
      <c r="H12" s="165"/>
    </row>
    <row r="13" spans="1:8">
      <c r="A13" s="162" t="s">
        <v>818</v>
      </c>
      <c r="B13" s="163" t="s">
        <v>819</v>
      </c>
      <c r="C13" s="163" t="s">
        <v>820</v>
      </c>
      <c r="D13" s="163" t="s">
        <v>821</v>
      </c>
      <c r="E13" s="166" t="s">
        <v>807</v>
      </c>
      <c r="F13" s="165"/>
      <c r="G13" s="165"/>
      <c r="H13" s="165"/>
    </row>
    <row r="14" spans="1:8">
      <c r="A14" s="162" t="s">
        <v>822</v>
      </c>
      <c r="B14" s="163" t="s">
        <v>357</v>
      </c>
      <c r="C14" s="163" t="s">
        <v>823</v>
      </c>
      <c r="D14" s="163" t="s">
        <v>821</v>
      </c>
      <c r="E14" s="166" t="s">
        <v>807</v>
      </c>
      <c r="F14" s="165"/>
      <c r="G14" s="165"/>
      <c r="H14" s="165"/>
    </row>
    <row r="15" spans="1:8">
      <c r="A15" s="162" t="s">
        <v>824</v>
      </c>
      <c r="B15" s="163" t="s">
        <v>358</v>
      </c>
      <c r="C15" s="163" t="s">
        <v>825</v>
      </c>
      <c r="D15" s="163" t="s">
        <v>826</v>
      </c>
      <c r="E15" s="166" t="s">
        <v>807</v>
      </c>
      <c r="F15" s="165"/>
      <c r="G15" s="165"/>
      <c r="H15" s="165"/>
    </row>
    <row r="16" spans="1:8">
      <c r="A16" s="162" t="s">
        <v>827</v>
      </c>
      <c r="B16" s="163" t="s">
        <v>359</v>
      </c>
      <c r="C16" s="163" t="s">
        <v>828</v>
      </c>
      <c r="D16" s="163" t="s">
        <v>829</v>
      </c>
      <c r="E16" s="166" t="s">
        <v>807</v>
      </c>
      <c r="F16" s="165"/>
      <c r="G16" s="165"/>
      <c r="H16" s="165"/>
    </row>
    <row r="17" spans="1:8">
      <c r="A17" s="162" t="s">
        <v>830</v>
      </c>
      <c r="B17" s="163" t="s">
        <v>831</v>
      </c>
      <c r="C17" s="163" t="s">
        <v>832</v>
      </c>
      <c r="D17" s="163" t="s">
        <v>833</v>
      </c>
      <c r="E17" s="166" t="s">
        <v>807</v>
      </c>
      <c r="F17" s="165"/>
      <c r="G17" s="165"/>
      <c r="H17" s="165"/>
    </row>
    <row r="18" spans="1:8">
      <c r="A18" s="162" t="s">
        <v>834</v>
      </c>
      <c r="B18" s="163" t="s">
        <v>835</v>
      </c>
      <c r="C18" s="163" t="s">
        <v>836</v>
      </c>
      <c r="D18" s="163" t="s">
        <v>837</v>
      </c>
      <c r="E18" s="166" t="s">
        <v>810</v>
      </c>
      <c r="F18" s="165"/>
      <c r="G18" s="165"/>
      <c r="H18" s="165"/>
    </row>
    <row r="19" spans="1:8">
      <c r="A19" s="162" t="s">
        <v>838</v>
      </c>
      <c r="B19" s="163" t="s">
        <v>839</v>
      </c>
      <c r="C19" s="163" t="s">
        <v>840</v>
      </c>
      <c r="D19" s="163" t="s">
        <v>841</v>
      </c>
      <c r="E19" s="166" t="s">
        <v>810</v>
      </c>
      <c r="F19" s="165"/>
      <c r="G19" s="165"/>
      <c r="H19" s="165"/>
    </row>
    <row r="20" spans="1:8">
      <c r="A20" s="162" t="s">
        <v>842</v>
      </c>
      <c r="B20" s="163" t="s">
        <v>367</v>
      </c>
      <c r="C20" s="163" t="s">
        <v>843</v>
      </c>
      <c r="D20" s="163" t="s">
        <v>844</v>
      </c>
      <c r="E20" s="166" t="s">
        <v>838</v>
      </c>
      <c r="F20" s="165"/>
      <c r="G20" s="165"/>
      <c r="H20" s="165"/>
    </row>
    <row r="21" spans="1:8">
      <c r="A21" s="162" t="s">
        <v>845</v>
      </c>
      <c r="B21" s="163" t="s">
        <v>846</v>
      </c>
      <c r="C21" s="163" t="s">
        <v>847</v>
      </c>
      <c r="D21" s="163" t="s">
        <v>848</v>
      </c>
      <c r="E21" s="166" t="s">
        <v>838</v>
      </c>
      <c r="F21" s="165"/>
      <c r="G21" s="165"/>
      <c r="H21" s="165"/>
    </row>
    <row r="22" spans="1:8">
      <c r="A22" s="162" t="s">
        <v>849</v>
      </c>
      <c r="B22" s="163" t="s">
        <v>370</v>
      </c>
      <c r="C22" s="163" t="s">
        <v>850</v>
      </c>
      <c r="D22" s="163" t="s">
        <v>851</v>
      </c>
      <c r="E22" s="166" t="s">
        <v>838</v>
      </c>
      <c r="F22" s="165"/>
      <c r="G22" s="165"/>
      <c r="H22" s="165"/>
    </row>
    <row r="23" spans="1:8">
      <c r="A23" s="162" t="s">
        <v>852</v>
      </c>
      <c r="B23" s="163" t="s">
        <v>371</v>
      </c>
      <c r="C23" s="163" t="s">
        <v>853</v>
      </c>
      <c r="D23" s="163" t="s">
        <v>854</v>
      </c>
      <c r="E23" s="166" t="s">
        <v>838</v>
      </c>
      <c r="F23" s="165"/>
      <c r="G23" s="165"/>
      <c r="H23" s="165"/>
    </row>
    <row r="24" spans="1:8">
      <c r="A24" s="162" t="s">
        <v>855</v>
      </c>
      <c r="B24" s="163" t="s">
        <v>372</v>
      </c>
      <c r="C24" s="163" t="s">
        <v>856</v>
      </c>
      <c r="D24" s="163" t="s">
        <v>857</v>
      </c>
      <c r="E24" s="166" t="s">
        <v>838</v>
      </c>
      <c r="F24" s="165"/>
      <c r="G24" s="165"/>
      <c r="H24" s="165"/>
    </row>
    <row r="25" spans="1:8">
      <c r="A25" s="162" t="s">
        <v>858</v>
      </c>
      <c r="B25" s="163" t="s">
        <v>373</v>
      </c>
      <c r="C25" s="163" t="s">
        <v>859</v>
      </c>
      <c r="D25" s="163" t="s">
        <v>860</v>
      </c>
      <c r="E25" s="166" t="s">
        <v>838</v>
      </c>
      <c r="F25" s="165"/>
      <c r="G25" s="165"/>
      <c r="H25" s="165"/>
    </row>
    <row r="26" spans="1:8">
      <c r="A26" s="162" t="s">
        <v>861</v>
      </c>
      <c r="B26" s="163" t="s">
        <v>376</v>
      </c>
      <c r="C26" s="163" t="s">
        <v>862</v>
      </c>
      <c r="D26" s="163" t="s">
        <v>863</v>
      </c>
      <c r="E26" s="166" t="s">
        <v>810</v>
      </c>
      <c r="F26" s="165"/>
      <c r="G26" s="165"/>
      <c r="H26" s="165"/>
    </row>
    <row r="27" spans="1:8">
      <c r="A27" s="162" t="s">
        <v>864</v>
      </c>
      <c r="B27" s="163" t="s">
        <v>865</v>
      </c>
      <c r="C27" s="163" t="s">
        <v>866</v>
      </c>
      <c r="D27" s="163" t="s">
        <v>867</v>
      </c>
      <c r="E27" s="166" t="s">
        <v>838</v>
      </c>
      <c r="F27" s="165"/>
      <c r="G27" s="165"/>
      <c r="H27" s="165"/>
    </row>
    <row r="28" spans="1:8">
      <c r="A28" s="162" t="s">
        <v>868</v>
      </c>
      <c r="B28" s="163" t="s">
        <v>869</v>
      </c>
      <c r="C28" s="163" t="s">
        <v>870</v>
      </c>
      <c r="D28" s="163" t="s">
        <v>871</v>
      </c>
      <c r="E28" s="166" t="s">
        <v>864</v>
      </c>
      <c r="F28" s="165"/>
      <c r="G28" s="165"/>
      <c r="H28" s="165"/>
    </row>
    <row r="29" spans="1:8">
      <c r="A29" s="162" t="s">
        <v>872</v>
      </c>
      <c r="B29" s="163" t="s">
        <v>380</v>
      </c>
      <c r="C29" s="163" t="s">
        <v>873</v>
      </c>
      <c r="D29" s="163" t="s">
        <v>874</v>
      </c>
      <c r="E29" s="166" t="s">
        <v>868</v>
      </c>
      <c r="F29" s="165"/>
      <c r="G29" s="165"/>
      <c r="H29" s="165"/>
    </row>
    <row r="30" spans="1:8">
      <c r="A30" s="162" t="s">
        <v>875</v>
      </c>
      <c r="B30" s="163" t="s">
        <v>876</v>
      </c>
      <c r="C30" s="163" t="s">
        <v>877</v>
      </c>
      <c r="D30" s="163" t="s">
        <v>878</v>
      </c>
      <c r="E30" s="166" t="s">
        <v>868</v>
      </c>
      <c r="F30" s="165"/>
      <c r="G30" s="165"/>
      <c r="H30" s="165"/>
    </row>
    <row r="31" spans="1:8">
      <c r="A31" s="162" t="s">
        <v>879</v>
      </c>
      <c r="B31" s="163" t="s">
        <v>880</v>
      </c>
      <c r="C31" s="163" t="s">
        <v>881</v>
      </c>
      <c r="D31" s="163" t="s">
        <v>882</v>
      </c>
      <c r="E31" s="166" t="s">
        <v>868</v>
      </c>
      <c r="F31" s="165"/>
      <c r="G31" s="165"/>
      <c r="H31" s="165"/>
    </row>
    <row r="32" spans="1:8">
      <c r="A32" s="162" t="s">
        <v>883</v>
      </c>
      <c r="B32" s="163" t="s">
        <v>884</v>
      </c>
      <c r="C32" s="163" t="s">
        <v>885</v>
      </c>
      <c r="D32" s="163" t="s">
        <v>886</v>
      </c>
      <c r="E32" s="166" t="s">
        <v>868</v>
      </c>
      <c r="F32" s="165"/>
      <c r="G32" s="165"/>
      <c r="H32" s="165"/>
    </row>
    <row r="33" spans="1:8">
      <c r="A33" s="162" t="s">
        <v>887</v>
      </c>
      <c r="B33" s="163" t="s">
        <v>888</v>
      </c>
      <c r="C33" s="163" t="s">
        <v>889</v>
      </c>
      <c r="D33" s="163" t="s">
        <v>890</v>
      </c>
      <c r="E33" s="166" t="s">
        <v>879</v>
      </c>
      <c r="F33" s="165"/>
      <c r="G33" s="165"/>
      <c r="H33" s="165"/>
    </row>
    <row r="34" spans="1:8">
      <c r="A34" s="162" t="s">
        <v>891</v>
      </c>
      <c r="B34" s="163" t="s">
        <v>892</v>
      </c>
      <c r="C34" s="163" t="s">
        <v>893</v>
      </c>
      <c r="D34" s="163" t="s">
        <v>894</v>
      </c>
      <c r="E34" s="166" t="s">
        <v>883</v>
      </c>
      <c r="F34" s="165"/>
      <c r="G34" s="165"/>
      <c r="H34" s="165"/>
    </row>
    <row r="35" spans="1:8">
      <c r="A35" s="162" t="s">
        <v>895</v>
      </c>
      <c r="B35" s="163" t="s">
        <v>896</v>
      </c>
      <c r="C35" s="163" t="s">
        <v>897</v>
      </c>
      <c r="D35" s="163" t="s">
        <v>898</v>
      </c>
      <c r="E35" s="166" t="s">
        <v>883</v>
      </c>
      <c r="F35" s="165"/>
      <c r="G35" s="165"/>
      <c r="H35" s="165"/>
    </row>
    <row r="36" spans="1:8">
      <c r="A36" s="162" t="s">
        <v>899</v>
      </c>
      <c r="B36" s="163" t="s">
        <v>900</v>
      </c>
      <c r="C36" s="163" t="s">
        <v>901</v>
      </c>
      <c r="D36" s="163" t="s">
        <v>902</v>
      </c>
      <c r="E36" s="164"/>
      <c r="F36" s="165"/>
      <c r="G36" s="165"/>
      <c r="H36" s="165"/>
    </row>
    <row r="37" spans="1:8">
      <c r="A37" s="162" t="s">
        <v>903</v>
      </c>
      <c r="B37" s="163" t="s">
        <v>904</v>
      </c>
      <c r="C37" s="163" t="s">
        <v>905</v>
      </c>
      <c r="D37" s="163" t="s">
        <v>906</v>
      </c>
      <c r="E37" s="166" t="s">
        <v>895</v>
      </c>
      <c r="F37" s="165"/>
      <c r="G37" s="165"/>
      <c r="H37" s="165"/>
    </row>
    <row r="38" spans="1:8">
      <c r="A38" s="162" t="s">
        <v>907</v>
      </c>
      <c r="B38" s="163" t="s">
        <v>396</v>
      </c>
      <c r="C38" s="163" t="s">
        <v>908</v>
      </c>
      <c r="D38" s="163" t="s">
        <v>909</v>
      </c>
      <c r="E38" s="166" t="s">
        <v>887</v>
      </c>
      <c r="F38" s="165"/>
      <c r="G38" s="165"/>
      <c r="H38" s="165"/>
    </row>
  </sheetData>
  <mergeCells count="5">
    <mergeCell ref="B2:H2"/>
    <mergeCell ref="B3:H3"/>
    <mergeCell ref="B4:H4"/>
    <mergeCell ref="F5:H5"/>
    <mergeCell ref="F6: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defaultColWidth="14.44140625" defaultRowHeight="15" customHeight="1"/>
  <cols>
    <col min="1" max="1" width="32" customWidth="1"/>
    <col min="2" max="2" width="38" customWidth="1"/>
    <col min="3" max="4" width="60" customWidth="1"/>
    <col min="5" max="5" width="25" customWidth="1"/>
    <col min="6" max="6" width="12" customWidth="1"/>
    <col min="7" max="8" width="15" customWidth="1"/>
    <col min="9" max="26" width="8.6640625" customWidth="1"/>
  </cols>
  <sheetData>
    <row r="1" spans="1:8" ht="14.4">
      <c r="A1" s="167" t="s">
        <v>575</v>
      </c>
      <c r="B1" s="168" t="s">
        <v>73</v>
      </c>
    </row>
    <row r="2" spans="1:8" ht="14.4">
      <c r="A2" s="167" t="s">
        <v>910</v>
      </c>
      <c r="B2" s="168" t="s">
        <v>911</v>
      </c>
    </row>
    <row r="3" spans="1:8" ht="14.4">
      <c r="A3" s="167" t="s">
        <v>578</v>
      </c>
      <c r="B3" s="168" t="s">
        <v>912</v>
      </c>
    </row>
    <row r="4" spans="1:8" ht="14.4">
      <c r="A4" s="167" t="s">
        <v>581</v>
      </c>
      <c r="B4" s="168" t="s">
        <v>913</v>
      </c>
    </row>
    <row r="5" spans="1:8" ht="14.4">
      <c r="A5" s="167" t="s">
        <v>577</v>
      </c>
      <c r="B5" s="169">
        <v>27</v>
      </c>
    </row>
    <row r="6" spans="1:8" ht="14.4">
      <c r="A6" s="167" t="s">
        <v>580</v>
      </c>
      <c r="B6" s="169">
        <v>0</v>
      </c>
    </row>
    <row r="7" spans="1:8" ht="14.4">
      <c r="A7" s="167" t="s">
        <v>583</v>
      </c>
      <c r="B7" s="169">
        <v>0</v>
      </c>
    </row>
    <row r="8" spans="1:8" ht="14.4">
      <c r="A8" s="167" t="s">
        <v>582</v>
      </c>
      <c r="B8" s="169">
        <v>0</v>
      </c>
    </row>
    <row r="9" spans="1:8" ht="14.4">
      <c r="A9" s="167" t="s">
        <v>584</v>
      </c>
      <c r="B9" s="169">
        <v>0</v>
      </c>
    </row>
    <row r="10" spans="1:8" ht="14.4">
      <c r="A10" s="167" t="s">
        <v>585</v>
      </c>
      <c r="B10" s="169">
        <v>27</v>
      </c>
    </row>
    <row r="12" spans="1:8" ht="14.4">
      <c r="A12" s="170" t="s">
        <v>586</v>
      </c>
      <c r="B12" s="170" t="s">
        <v>587</v>
      </c>
      <c r="C12" s="170" t="s">
        <v>588</v>
      </c>
      <c r="D12" s="170" t="s">
        <v>589</v>
      </c>
      <c r="E12" s="170" t="s">
        <v>590</v>
      </c>
      <c r="F12" s="170" t="s">
        <v>591</v>
      </c>
      <c r="G12" s="170" t="s">
        <v>592</v>
      </c>
      <c r="H12" s="170" t="s">
        <v>96</v>
      </c>
    </row>
    <row r="13" spans="1:8" ht="82.8">
      <c r="A13" s="171" t="s">
        <v>914</v>
      </c>
      <c r="B13" s="172" t="s">
        <v>915</v>
      </c>
      <c r="C13" s="172" t="s">
        <v>916</v>
      </c>
      <c r="D13" s="172" t="s">
        <v>917</v>
      </c>
      <c r="E13" s="171"/>
      <c r="F13" s="171"/>
      <c r="G13" s="171"/>
      <c r="H13" s="171"/>
    </row>
    <row r="14" spans="1:8" ht="69">
      <c r="A14" s="171" t="s">
        <v>918</v>
      </c>
      <c r="B14" s="172" t="s">
        <v>919</v>
      </c>
      <c r="C14" s="172" t="s">
        <v>920</v>
      </c>
      <c r="D14" s="172" t="s">
        <v>921</v>
      </c>
      <c r="E14" s="171"/>
      <c r="F14" s="171"/>
      <c r="G14" s="171"/>
      <c r="H14" s="171"/>
    </row>
    <row r="15" spans="1:8" ht="69">
      <c r="A15" s="171" t="s">
        <v>922</v>
      </c>
      <c r="B15" s="172" t="s">
        <v>923</v>
      </c>
      <c r="C15" s="172" t="s">
        <v>924</v>
      </c>
      <c r="D15" s="172" t="s">
        <v>925</v>
      </c>
      <c r="E15" s="171"/>
      <c r="F15" s="171"/>
      <c r="G15" s="171"/>
      <c r="H15" s="171"/>
    </row>
    <row r="16" spans="1:8" ht="69">
      <c r="A16" s="171" t="s">
        <v>926</v>
      </c>
      <c r="B16" s="172" t="s">
        <v>927</v>
      </c>
      <c r="C16" s="172" t="s">
        <v>928</v>
      </c>
      <c r="D16" s="172" t="s">
        <v>929</v>
      </c>
      <c r="E16" s="171"/>
      <c r="F16" s="171"/>
      <c r="G16" s="171"/>
      <c r="H16" s="171"/>
    </row>
    <row r="17" spans="1:8" ht="69">
      <c r="A17" s="171" t="s">
        <v>930</v>
      </c>
      <c r="B17" s="172" t="s">
        <v>931</v>
      </c>
      <c r="C17" s="172" t="s">
        <v>932</v>
      </c>
      <c r="D17" s="172" t="s">
        <v>933</v>
      </c>
      <c r="E17" s="171"/>
      <c r="F17" s="171"/>
      <c r="G17" s="171"/>
      <c r="H17" s="171"/>
    </row>
    <row r="18" spans="1:8" ht="82.8">
      <c r="A18" s="171" t="s">
        <v>934</v>
      </c>
      <c r="B18" s="172" t="s">
        <v>935</v>
      </c>
      <c r="C18" s="172" t="s">
        <v>936</v>
      </c>
      <c r="D18" s="172" t="s">
        <v>937</v>
      </c>
      <c r="E18" s="171"/>
      <c r="F18" s="171"/>
      <c r="G18" s="171"/>
      <c r="H18" s="171"/>
    </row>
    <row r="19" spans="1:8" ht="110.4">
      <c r="A19" s="171" t="s">
        <v>938</v>
      </c>
      <c r="B19" s="172" t="s">
        <v>939</v>
      </c>
      <c r="C19" s="172" t="s">
        <v>940</v>
      </c>
      <c r="D19" s="172" t="s">
        <v>941</v>
      </c>
      <c r="E19" s="171"/>
      <c r="F19" s="171"/>
      <c r="G19" s="171"/>
      <c r="H19" s="171"/>
    </row>
    <row r="20" spans="1:8" ht="41.4">
      <c r="A20" s="171" t="s">
        <v>942</v>
      </c>
      <c r="B20" s="172" t="s">
        <v>943</v>
      </c>
      <c r="C20" s="172" t="s">
        <v>944</v>
      </c>
      <c r="D20" s="172" t="s">
        <v>945</v>
      </c>
      <c r="E20" s="171"/>
      <c r="F20" s="171"/>
      <c r="G20" s="171"/>
      <c r="H20" s="171"/>
    </row>
    <row r="21" spans="1:8" ht="15.75" customHeight="1">
      <c r="A21" s="171" t="s">
        <v>946</v>
      </c>
      <c r="B21" s="172" t="s">
        <v>947</v>
      </c>
      <c r="C21" s="172" t="s">
        <v>948</v>
      </c>
      <c r="D21" s="172" t="s">
        <v>949</v>
      </c>
      <c r="E21" s="171"/>
      <c r="F21" s="171"/>
      <c r="G21" s="171"/>
      <c r="H21" s="171"/>
    </row>
    <row r="22" spans="1:8" ht="15.75" customHeight="1">
      <c r="A22" s="171" t="s">
        <v>950</v>
      </c>
      <c r="B22" s="172" t="s">
        <v>951</v>
      </c>
      <c r="C22" s="172" t="s">
        <v>952</v>
      </c>
      <c r="D22" s="172" t="s">
        <v>953</v>
      </c>
      <c r="E22" s="171"/>
      <c r="F22" s="171"/>
      <c r="G22" s="171"/>
      <c r="H22" s="171"/>
    </row>
    <row r="23" spans="1:8" ht="15.75" customHeight="1">
      <c r="A23" s="171" t="s">
        <v>954</v>
      </c>
      <c r="B23" s="172" t="s">
        <v>955</v>
      </c>
      <c r="C23" s="172" t="s">
        <v>956</v>
      </c>
      <c r="D23" s="172" t="s">
        <v>957</v>
      </c>
      <c r="E23" s="171"/>
      <c r="F23" s="171"/>
      <c r="G23" s="171"/>
      <c r="H23" s="171"/>
    </row>
    <row r="24" spans="1:8" ht="15.75" customHeight="1">
      <c r="A24" s="171" t="s">
        <v>958</v>
      </c>
      <c r="B24" s="172" t="s">
        <v>959</v>
      </c>
      <c r="C24" s="172" t="s">
        <v>960</v>
      </c>
      <c r="D24" s="172" t="s">
        <v>961</v>
      </c>
      <c r="E24" s="171"/>
      <c r="F24" s="171"/>
      <c r="G24" s="171"/>
      <c r="H24" s="171"/>
    </row>
    <row r="25" spans="1:8" ht="15.75" customHeight="1">
      <c r="A25" s="171" t="s">
        <v>962</v>
      </c>
      <c r="B25" s="172" t="s">
        <v>963</v>
      </c>
      <c r="C25" s="172" t="s">
        <v>964</v>
      </c>
      <c r="D25" s="172" t="s">
        <v>965</v>
      </c>
      <c r="E25" s="171"/>
      <c r="F25" s="171"/>
      <c r="G25" s="171"/>
      <c r="H25" s="171"/>
    </row>
    <row r="26" spans="1:8" ht="15.75" customHeight="1">
      <c r="A26" s="171" t="s">
        <v>966</v>
      </c>
      <c r="B26" s="172" t="s">
        <v>967</v>
      </c>
      <c r="C26" s="172" t="s">
        <v>968</v>
      </c>
      <c r="D26" s="172" t="s">
        <v>969</v>
      </c>
      <c r="E26" s="171"/>
      <c r="F26" s="171"/>
      <c r="G26" s="171"/>
      <c r="H26" s="171"/>
    </row>
    <row r="27" spans="1:8" ht="15.75" customHeight="1">
      <c r="A27" s="171" t="s">
        <v>970</v>
      </c>
      <c r="B27" s="172" t="s">
        <v>971</v>
      </c>
      <c r="C27" s="172" t="s">
        <v>972</v>
      </c>
      <c r="D27" s="172" t="s">
        <v>973</v>
      </c>
      <c r="E27" s="171"/>
      <c r="F27" s="171"/>
      <c r="G27" s="171"/>
      <c r="H27" s="171"/>
    </row>
    <row r="28" spans="1:8" ht="15.75" customHeight="1">
      <c r="A28" s="171" t="s">
        <v>974</v>
      </c>
      <c r="B28" s="172" t="s">
        <v>975</v>
      </c>
      <c r="C28" s="172" t="s">
        <v>976</v>
      </c>
      <c r="D28" s="172" t="s">
        <v>977</v>
      </c>
      <c r="E28" s="171"/>
      <c r="F28" s="171"/>
      <c r="G28" s="171"/>
      <c r="H28" s="171"/>
    </row>
    <row r="29" spans="1:8" ht="15.75" customHeight="1">
      <c r="A29" s="171" t="s">
        <v>978</v>
      </c>
      <c r="B29" s="172" t="s">
        <v>979</v>
      </c>
      <c r="C29" s="172" t="s">
        <v>980</v>
      </c>
      <c r="D29" s="172" t="s">
        <v>981</v>
      </c>
      <c r="E29" s="171"/>
      <c r="F29" s="171"/>
      <c r="G29" s="171"/>
      <c r="H29" s="171"/>
    </row>
    <row r="30" spans="1:8" ht="15.75" customHeight="1">
      <c r="A30" s="171" t="s">
        <v>982</v>
      </c>
      <c r="B30" s="172" t="s">
        <v>983</v>
      </c>
      <c r="C30" s="172" t="s">
        <v>984</v>
      </c>
      <c r="D30" s="172" t="s">
        <v>985</v>
      </c>
      <c r="E30" s="171"/>
      <c r="F30" s="171"/>
      <c r="G30" s="171"/>
      <c r="H30" s="171"/>
    </row>
    <row r="31" spans="1:8" ht="15.75" customHeight="1">
      <c r="A31" s="171" t="s">
        <v>986</v>
      </c>
      <c r="B31" s="172" t="s">
        <v>987</v>
      </c>
      <c r="C31" s="172" t="s">
        <v>988</v>
      </c>
      <c r="D31" s="172" t="s">
        <v>989</v>
      </c>
      <c r="E31" s="171"/>
      <c r="F31" s="171"/>
      <c r="G31" s="171"/>
      <c r="H31" s="171"/>
    </row>
    <row r="32" spans="1:8" ht="15.75" customHeight="1">
      <c r="A32" s="171" t="s">
        <v>990</v>
      </c>
      <c r="B32" s="172" t="s">
        <v>991</v>
      </c>
      <c r="C32" s="172" t="s">
        <v>992</v>
      </c>
      <c r="D32" s="172" t="s">
        <v>993</v>
      </c>
      <c r="E32" s="171"/>
      <c r="F32" s="171"/>
      <c r="G32" s="171"/>
      <c r="H32" s="171"/>
    </row>
    <row r="33" spans="1:8" ht="15.75" customHeight="1">
      <c r="A33" s="171" t="s">
        <v>994</v>
      </c>
      <c r="B33" s="172" t="s">
        <v>995</v>
      </c>
      <c r="C33" s="172" t="s">
        <v>996</v>
      </c>
      <c r="D33" s="172" t="s">
        <v>997</v>
      </c>
      <c r="E33" s="171"/>
      <c r="F33" s="171"/>
      <c r="G33" s="171"/>
      <c r="H33" s="171"/>
    </row>
    <row r="34" spans="1:8" ht="15.75" customHeight="1">
      <c r="A34" s="171" t="s">
        <v>998</v>
      </c>
      <c r="B34" s="172" t="s">
        <v>999</v>
      </c>
      <c r="C34" s="172" t="s">
        <v>1000</v>
      </c>
      <c r="D34" s="172" t="s">
        <v>1001</v>
      </c>
      <c r="E34" s="171"/>
      <c r="F34" s="171"/>
      <c r="G34" s="171"/>
      <c r="H34" s="171"/>
    </row>
    <row r="35" spans="1:8" ht="15.75" customHeight="1">
      <c r="A35" s="171" t="s">
        <v>1002</v>
      </c>
      <c r="B35" s="172" t="s">
        <v>1003</v>
      </c>
      <c r="C35" s="172" t="s">
        <v>1004</v>
      </c>
      <c r="D35" s="172" t="s">
        <v>1005</v>
      </c>
      <c r="E35" s="171"/>
      <c r="F35" s="171"/>
      <c r="G35" s="171"/>
      <c r="H35" s="171"/>
    </row>
    <row r="36" spans="1:8" ht="15.75" customHeight="1">
      <c r="A36" s="171" t="s">
        <v>1006</v>
      </c>
      <c r="B36" s="172" t="s">
        <v>1007</v>
      </c>
      <c r="C36" s="172" t="s">
        <v>1008</v>
      </c>
      <c r="D36" s="172" t="s">
        <v>1009</v>
      </c>
      <c r="E36" s="171"/>
      <c r="F36" s="171"/>
      <c r="G36" s="171"/>
      <c r="H36" s="171"/>
    </row>
    <row r="37" spans="1:8" ht="15.75" customHeight="1">
      <c r="A37" s="171" t="s">
        <v>1010</v>
      </c>
      <c r="B37" s="172" t="s">
        <v>1011</v>
      </c>
      <c r="C37" s="172" t="s">
        <v>1012</v>
      </c>
      <c r="D37" s="172" t="s">
        <v>1013</v>
      </c>
      <c r="E37" s="171"/>
      <c r="F37" s="171"/>
      <c r="G37" s="171"/>
      <c r="H37" s="171"/>
    </row>
    <row r="38" spans="1:8" ht="15.75" customHeight="1">
      <c r="A38" s="171" t="s">
        <v>1014</v>
      </c>
      <c r="B38" s="172" t="s">
        <v>1015</v>
      </c>
      <c r="C38" s="172" t="s">
        <v>1016</v>
      </c>
      <c r="D38" s="172" t="s">
        <v>1017</v>
      </c>
      <c r="E38" s="171"/>
      <c r="F38" s="171"/>
      <c r="G38" s="171"/>
      <c r="H38" s="171"/>
    </row>
    <row r="39" spans="1:8" ht="15.75" customHeight="1">
      <c r="A39" s="171" t="s">
        <v>1018</v>
      </c>
      <c r="B39" s="172" t="s">
        <v>1019</v>
      </c>
      <c r="C39" s="172" t="s">
        <v>1020</v>
      </c>
      <c r="D39" s="172" t="s">
        <v>1021</v>
      </c>
      <c r="E39" s="171"/>
      <c r="F39" s="171"/>
      <c r="G39" s="171"/>
      <c r="H39" s="171"/>
    </row>
    <row r="40" spans="1:8" ht="15.75" customHeight="1"/>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ySplit="8" topLeftCell="A9" activePane="bottomLeft" state="frozen"/>
      <selection pane="bottomLeft" activeCell="B10" sqref="B10"/>
    </sheetView>
  </sheetViews>
  <sheetFormatPr defaultColWidth="14.44140625" defaultRowHeight="15" customHeight="1"/>
  <cols>
    <col min="1" max="1" width="14.33203125" customWidth="1"/>
    <col min="2" max="2" width="21.88671875" customWidth="1"/>
    <col min="3" max="3" width="29.33203125" customWidth="1"/>
    <col min="4" max="4" width="34.44140625" customWidth="1"/>
    <col min="5" max="5" width="19.33203125" customWidth="1"/>
    <col min="6" max="6" width="13.5546875" customWidth="1"/>
    <col min="7" max="7" width="10.33203125" customWidth="1"/>
    <col min="8" max="8" width="20.109375" customWidth="1"/>
    <col min="9" max="9" width="9.44140625" customWidth="1"/>
    <col min="10" max="10" width="7.5546875" hidden="1" customWidth="1"/>
    <col min="11" max="11" width="10.33203125" customWidth="1"/>
    <col min="12" max="26" width="9.109375" customWidth="1"/>
  </cols>
  <sheetData>
    <row r="1" spans="1:26" ht="13.5" customHeight="1">
      <c r="A1" s="102"/>
      <c r="B1" s="103"/>
      <c r="C1" s="103"/>
      <c r="D1" s="103"/>
      <c r="E1" s="103"/>
      <c r="F1" s="104"/>
      <c r="G1" s="105"/>
      <c r="H1" s="41"/>
      <c r="I1" s="106"/>
      <c r="J1" s="107"/>
      <c r="K1" s="107"/>
      <c r="L1" s="107"/>
      <c r="M1" s="107"/>
      <c r="N1" s="107"/>
      <c r="O1" s="107"/>
      <c r="P1" s="107"/>
      <c r="Q1" s="107"/>
      <c r="R1" s="107"/>
      <c r="S1" s="107"/>
      <c r="T1" s="107"/>
      <c r="U1" s="107"/>
      <c r="V1" s="107"/>
      <c r="W1" s="107"/>
      <c r="X1" s="107"/>
      <c r="Y1" s="107"/>
      <c r="Z1" s="107"/>
    </row>
    <row r="2" spans="1:26" ht="15" customHeight="1">
      <c r="A2" s="108" t="s">
        <v>575</v>
      </c>
      <c r="B2" s="214" t="s">
        <v>1022</v>
      </c>
      <c r="C2" s="198"/>
      <c r="D2" s="198"/>
      <c r="E2" s="198"/>
      <c r="F2" s="198"/>
      <c r="G2" s="198"/>
      <c r="H2" s="199"/>
      <c r="I2" s="106"/>
      <c r="J2" s="107" t="s">
        <v>577</v>
      </c>
      <c r="K2" s="107"/>
      <c r="L2" s="107"/>
      <c r="M2" s="107"/>
      <c r="N2" s="107"/>
      <c r="O2" s="107"/>
      <c r="P2" s="107"/>
      <c r="Q2" s="107"/>
      <c r="R2" s="107"/>
      <c r="S2" s="107"/>
      <c r="T2" s="107"/>
      <c r="U2" s="107"/>
      <c r="V2" s="107"/>
      <c r="W2" s="107"/>
      <c r="X2" s="107"/>
      <c r="Y2" s="107"/>
      <c r="Z2" s="107"/>
    </row>
    <row r="3" spans="1:26" ht="25.5" customHeight="1">
      <c r="A3" s="109" t="s">
        <v>578</v>
      </c>
      <c r="B3" s="214" t="s">
        <v>1023</v>
      </c>
      <c r="C3" s="198"/>
      <c r="D3" s="198"/>
      <c r="E3" s="198"/>
      <c r="F3" s="198"/>
      <c r="G3" s="198"/>
      <c r="H3" s="199"/>
      <c r="I3" s="106"/>
      <c r="J3" s="107" t="s">
        <v>580</v>
      </c>
      <c r="K3" s="107"/>
      <c r="L3" s="107"/>
      <c r="M3" s="107"/>
      <c r="N3" s="107"/>
      <c r="O3" s="107"/>
      <c r="P3" s="107"/>
      <c r="Q3" s="107"/>
      <c r="R3" s="107"/>
      <c r="S3" s="107"/>
      <c r="T3" s="107"/>
      <c r="U3" s="107"/>
      <c r="V3" s="107"/>
      <c r="W3" s="107"/>
      <c r="X3" s="107"/>
      <c r="Y3" s="107"/>
      <c r="Z3" s="107"/>
    </row>
    <row r="4" spans="1:26" ht="18" customHeight="1">
      <c r="A4" s="108" t="s">
        <v>581</v>
      </c>
      <c r="B4" s="214" t="s">
        <v>1024</v>
      </c>
      <c r="C4" s="198"/>
      <c r="D4" s="198"/>
      <c r="E4" s="198"/>
      <c r="F4" s="198"/>
      <c r="G4" s="198"/>
      <c r="H4" s="199"/>
      <c r="I4" s="106"/>
      <c r="J4" s="107" t="s">
        <v>582</v>
      </c>
      <c r="K4" s="107"/>
      <c r="L4" s="107"/>
      <c r="M4" s="107"/>
      <c r="N4" s="107"/>
      <c r="O4" s="107"/>
      <c r="P4" s="107"/>
      <c r="Q4" s="107"/>
      <c r="R4" s="107"/>
      <c r="S4" s="107"/>
      <c r="T4" s="107"/>
      <c r="U4" s="107"/>
      <c r="V4" s="107"/>
      <c r="W4" s="107"/>
      <c r="X4" s="107"/>
      <c r="Y4" s="107"/>
      <c r="Z4" s="107"/>
    </row>
    <row r="5" spans="1:26" ht="19.5" customHeight="1">
      <c r="A5" s="110" t="s">
        <v>577</v>
      </c>
      <c r="B5" s="111" t="s">
        <v>580</v>
      </c>
      <c r="C5" s="111" t="s">
        <v>583</v>
      </c>
      <c r="D5" s="111" t="s">
        <v>582</v>
      </c>
      <c r="E5" s="112" t="s">
        <v>584</v>
      </c>
      <c r="F5" s="215" t="s">
        <v>585</v>
      </c>
      <c r="G5" s="198"/>
      <c r="H5" s="199"/>
      <c r="I5" s="113"/>
      <c r="J5" s="107" t="s">
        <v>583</v>
      </c>
      <c r="K5" s="107"/>
      <c r="L5" s="107"/>
      <c r="M5" s="107"/>
      <c r="N5" s="107"/>
      <c r="O5" s="107"/>
      <c r="P5" s="107"/>
      <c r="Q5" s="107"/>
      <c r="R5" s="107"/>
      <c r="S5" s="107"/>
      <c r="T5" s="107"/>
      <c r="U5" s="107"/>
      <c r="V5" s="107"/>
      <c r="W5" s="107"/>
      <c r="X5" s="107"/>
      <c r="Y5" s="107"/>
      <c r="Z5" s="107"/>
    </row>
    <row r="6" spans="1:26" ht="15" customHeight="1">
      <c r="A6" s="114">
        <f>COUNTIF(F9:F996,"Passed")</f>
        <v>0</v>
      </c>
      <c r="B6" s="115">
        <f>COUNTIF(F9:F996,"Failed")</f>
        <v>0</v>
      </c>
      <c r="C6" s="115">
        <f>F6-E6-D6-B6-A6</f>
        <v>30</v>
      </c>
      <c r="D6" s="115">
        <f>COUNTIF(F9:F996,"Blocked")</f>
        <v>0</v>
      </c>
      <c r="E6" s="116">
        <f>COUNTIF(F9:F996,"Skipped")</f>
        <v>0</v>
      </c>
      <c r="F6" s="216">
        <f>COUNTA(A9:A996)</f>
        <v>30</v>
      </c>
      <c r="G6" s="198"/>
      <c r="H6" s="199"/>
      <c r="I6" s="113"/>
      <c r="J6" s="107" t="s">
        <v>584</v>
      </c>
      <c r="K6" s="107"/>
      <c r="L6" s="107"/>
      <c r="M6" s="107"/>
      <c r="N6" s="107"/>
      <c r="O6" s="107"/>
      <c r="P6" s="107"/>
      <c r="Q6" s="107"/>
      <c r="R6" s="107"/>
      <c r="S6" s="107"/>
      <c r="T6" s="107"/>
      <c r="U6" s="107"/>
      <c r="V6" s="107"/>
      <c r="W6" s="107"/>
      <c r="X6" s="107"/>
      <c r="Y6" s="107"/>
      <c r="Z6" s="107"/>
    </row>
    <row r="7" spans="1:26" ht="15" customHeight="1">
      <c r="A7" s="107"/>
      <c r="B7" s="107"/>
      <c r="C7" s="107"/>
      <c r="D7" s="117"/>
      <c r="E7" s="117"/>
      <c r="F7" s="117"/>
      <c r="G7" s="117"/>
      <c r="H7" s="117"/>
      <c r="I7" s="113"/>
      <c r="J7" s="107"/>
      <c r="K7" s="107"/>
      <c r="L7" s="107"/>
      <c r="M7" s="107"/>
      <c r="N7" s="107"/>
      <c r="O7" s="107"/>
      <c r="P7" s="107"/>
      <c r="Q7" s="107"/>
      <c r="R7" s="107"/>
      <c r="S7" s="107"/>
      <c r="T7" s="107"/>
      <c r="U7" s="107"/>
      <c r="V7" s="107"/>
      <c r="W7" s="107"/>
      <c r="X7" s="107"/>
      <c r="Y7" s="107"/>
      <c r="Z7" s="107"/>
    </row>
    <row r="8" spans="1:26" ht="25.5" customHeight="1">
      <c r="A8" s="118" t="s">
        <v>586</v>
      </c>
      <c r="B8" s="118" t="s">
        <v>587</v>
      </c>
      <c r="C8" s="118" t="s">
        <v>588</v>
      </c>
      <c r="D8" s="118" t="s">
        <v>589</v>
      </c>
      <c r="E8" s="119" t="s">
        <v>590</v>
      </c>
      <c r="F8" s="119" t="s">
        <v>591</v>
      </c>
      <c r="G8" s="119" t="s">
        <v>592</v>
      </c>
      <c r="H8" s="118" t="s">
        <v>96</v>
      </c>
      <c r="I8" s="120"/>
      <c r="J8" s="107"/>
      <c r="K8" s="107"/>
      <c r="L8" s="107"/>
      <c r="M8" s="107"/>
      <c r="N8" s="107"/>
      <c r="O8" s="107"/>
      <c r="P8" s="107"/>
      <c r="Q8" s="107"/>
      <c r="R8" s="107"/>
      <c r="S8" s="107"/>
      <c r="T8" s="107"/>
      <c r="U8" s="107"/>
      <c r="V8" s="107"/>
      <c r="W8" s="107"/>
      <c r="X8" s="107"/>
      <c r="Y8" s="107"/>
      <c r="Z8" s="107"/>
    </row>
    <row r="9" spans="1:26" ht="181.5" customHeight="1">
      <c r="A9" s="162" t="s">
        <v>1025</v>
      </c>
      <c r="B9" s="163" t="s">
        <v>1026</v>
      </c>
      <c r="C9" s="163" t="s">
        <v>1027</v>
      </c>
      <c r="D9" s="163" t="s">
        <v>1028</v>
      </c>
      <c r="E9" s="123"/>
      <c r="F9" s="121" t="s">
        <v>583</v>
      </c>
      <c r="G9" s="124"/>
      <c r="H9" s="125"/>
      <c r="I9" s="126"/>
      <c r="J9" s="127"/>
      <c r="K9" s="127"/>
      <c r="L9" s="127"/>
      <c r="M9" s="127"/>
      <c r="N9" s="127"/>
      <c r="O9" s="127"/>
      <c r="P9" s="127"/>
      <c r="Q9" s="127"/>
      <c r="R9" s="127"/>
      <c r="S9" s="127"/>
      <c r="T9" s="127"/>
      <c r="U9" s="127"/>
      <c r="V9" s="127"/>
      <c r="W9" s="127"/>
      <c r="X9" s="127"/>
      <c r="Y9" s="127"/>
      <c r="Z9" s="127"/>
    </row>
    <row r="10" spans="1:26" ht="181.5" customHeight="1">
      <c r="A10" s="162" t="s">
        <v>1029</v>
      </c>
      <c r="B10" s="163" t="s">
        <v>1030</v>
      </c>
      <c r="C10" s="163" t="s">
        <v>1031</v>
      </c>
      <c r="D10" s="163" t="s">
        <v>1032</v>
      </c>
      <c r="E10" s="123"/>
      <c r="F10" s="121" t="s">
        <v>583</v>
      </c>
      <c r="G10" s="124"/>
      <c r="H10" s="125"/>
      <c r="I10" s="126"/>
      <c r="J10" s="127"/>
      <c r="K10" s="127"/>
      <c r="L10" s="127"/>
      <c r="M10" s="127"/>
      <c r="N10" s="127"/>
      <c r="O10" s="127"/>
      <c r="P10" s="127"/>
      <c r="Q10" s="127"/>
      <c r="R10" s="127"/>
      <c r="S10" s="127"/>
      <c r="T10" s="127"/>
      <c r="U10" s="127"/>
      <c r="V10" s="127"/>
      <c r="W10" s="127"/>
      <c r="X10" s="127"/>
      <c r="Y10" s="127"/>
      <c r="Z10" s="127"/>
    </row>
    <row r="11" spans="1:26" ht="114" customHeight="1">
      <c r="A11" s="162" t="s">
        <v>1033</v>
      </c>
      <c r="B11" s="163" t="s">
        <v>1034</v>
      </c>
      <c r="C11" s="163" t="s">
        <v>1035</v>
      </c>
      <c r="D11" s="163" t="s">
        <v>1036</v>
      </c>
      <c r="E11" s="123"/>
      <c r="F11" s="121" t="s">
        <v>583</v>
      </c>
      <c r="G11" s="124"/>
      <c r="H11" s="125"/>
      <c r="I11" s="126"/>
      <c r="J11" s="127"/>
      <c r="K11" s="127"/>
      <c r="L11" s="127"/>
      <c r="M11" s="127"/>
      <c r="N11" s="127"/>
      <c r="O11" s="127"/>
      <c r="P11" s="127"/>
      <c r="Q11" s="127"/>
      <c r="R11" s="127"/>
      <c r="S11" s="127"/>
      <c r="T11" s="127"/>
      <c r="U11" s="127"/>
      <c r="V11" s="127"/>
      <c r="W11" s="127"/>
      <c r="X11" s="127"/>
      <c r="Y11" s="127"/>
      <c r="Z11" s="127"/>
    </row>
    <row r="12" spans="1:26" ht="127.5" customHeight="1">
      <c r="A12" s="162" t="s">
        <v>1037</v>
      </c>
      <c r="B12" s="163" t="s">
        <v>1038</v>
      </c>
      <c r="C12" s="163" t="s">
        <v>1039</v>
      </c>
      <c r="D12" s="163" t="s">
        <v>1040</v>
      </c>
      <c r="E12" s="123"/>
      <c r="F12" s="121" t="s">
        <v>583</v>
      </c>
      <c r="G12" s="124"/>
      <c r="H12" s="125"/>
      <c r="I12" s="126"/>
      <c r="J12" s="127"/>
      <c r="K12" s="127"/>
      <c r="L12" s="127"/>
      <c r="M12" s="127"/>
      <c r="N12" s="127"/>
      <c r="O12" s="127"/>
      <c r="P12" s="127"/>
      <c r="Q12" s="127"/>
      <c r="R12" s="127"/>
      <c r="S12" s="127"/>
      <c r="T12" s="127"/>
      <c r="U12" s="127"/>
      <c r="V12" s="127"/>
      <c r="W12" s="127"/>
      <c r="X12" s="127"/>
      <c r="Y12" s="127"/>
      <c r="Z12" s="127"/>
    </row>
    <row r="13" spans="1:26" ht="100.5" customHeight="1">
      <c r="A13" s="162" t="s">
        <v>1041</v>
      </c>
      <c r="B13" s="163" t="s">
        <v>1042</v>
      </c>
      <c r="C13" s="163" t="s">
        <v>1043</v>
      </c>
      <c r="D13" s="163" t="s">
        <v>1044</v>
      </c>
      <c r="E13" s="123"/>
      <c r="F13" s="121" t="s">
        <v>583</v>
      </c>
      <c r="G13" s="124"/>
      <c r="H13" s="125"/>
      <c r="I13" s="126"/>
      <c r="J13" s="127"/>
      <c r="K13" s="127"/>
      <c r="L13" s="127"/>
      <c r="M13" s="127"/>
      <c r="N13" s="127"/>
      <c r="O13" s="127"/>
      <c r="P13" s="127"/>
      <c r="Q13" s="127"/>
      <c r="R13" s="127"/>
      <c r="S13" s="127"/>
      <c r="T13" s="127"/>
      <c r="U13" s="127"/>
      <c r="V13" s="127"/>
      <c r="W13" s="127"/>
      <c r="X13" s="127"/>
      <c r="Y13" s="127"/>
      <c r="Z13" s="127"/>
    </row>
    <row r="14" spans="1:26" ht="168" customHeight="1">
      <c r="A14" s="162" t="s">
        <v>1045</v>
      </c>
      <c r="B14" s="163" t="s">
        <v>1046</v>
      </c>
      <c r="C14" s="163" t="s">
        <v>1047</v>
      </c>
      <c r="D14" s="163" t="s">
        <v>1048</v>
      </c>
      <c r="E14" s="123"/>
      <c r="F14" s="121" t="s">
        <v>583</v>
      </c>
      <c r="G14" s="124"/>
      <c r="H14" s="125"/>
      <c r="I14" s="126"/>
      <c r="J14" s="127"/>
      <c r="K14" s="127"/>
      <c r="L14" s="127"/>
      <c r="M14" s="127"/>
      <c r="N14" s="127"/>
      <c r="O14" s="127"/>
      <c r="P14" s="127"/>
      <c r="Q14" s="127"/>
      <c r="R14" s="127"/>
      <c r="S14" s="127"/>
      <c r="T14" s="127"/>
      <c r="U14" s="127"/>
      <c r="V14" s="127"/>
      <c r="W14" s="127"/>
      <c r="X14" s="127"/>
      <c r="Y14" s="127"/>
      <c r="Z14" s="127"/>
    </row>
    <row r="15" spans="1:26" ht="195" customHeight="1">
      <c r="A15" s="162" t="s">
        <v>1049</v>
      </c>
      <c r="B15" s="163" t="s">
        <v>1050</v>
      </c>
      <c r="C15" s="163" t="s">
        <v>1051</v>
      </c>
      <c r="D15" s="163" t="s">
        <v>1052</v>
      </c>
      <c r="E15" s="129"/>
      <c r="F15" s="21" t="s">
        <v>583</v>
      </c>
      <c r="G15" s="130"/>
      <c r="H15" s="130"/>
      <c r="I15" s="131"/>
      <c r="J15" s="107"/>
      <c r="K15" s="107"/>
      <c r="L15" s="7"/>
      <c r="M15" s="7"/>
      <c r="N15" s="7"/>
      <c r="O15" s="7"/>
      <c r="P15" s="7"/>
      <c r="Q15" s="7"/>
      <c r="R15" s="7"/>
      <c r="S15" s="7"/>
      <c r="T15" s="7"/>
      <c r="U15" s="7"/>
      <c r="V15" s="7"/>
      <c r="W15" s="7"/>
      <c r="X15" s="7"/>
      <c r="Y15" s="7"/>
      <c r="Z15" s="7"/>
    </row>
    <row r="16" spans="1:26" ht="181.5" customHeight="1">
      <c r="A16" s="162" t="s">
        <v>1053</v>
      </c>
      <c r="B16" s="163" t="s">
        <v>1054</v>
      </c>
      <c r="C16" s="163" t="s">
        <v>1055</v>
      </c>
      <c r="D16" s="163" t="s">
        <v>1056</v>
      </c>
      <c r="E16" s="129"/>
      <c r="F16" s="121" t="s">
        <v>583</v>
      </c>
      <c r="G16" s="130"/>
      <c r="H16" s="130"/>
      <c r="I16" s="126"/>
      <c r="J16" s="7"/>
      <c r="K16" s="7"/>
      <c r="L16" s="7"/>
      <c r="M16" s="7"/>
      <c r="N16" s="7"/>
      <c r="O16" s="7"/>
      <c r="P16" s="7"/>
      <c r="Q16" s="7"/>
      <c r="R16" s="7"/>
      <c r="S16" s="7"/>
      <c r="T16" s="7"/>
      <c r="U16" s="7"/>
      <c r="V16" s="7"/>
      <c r="W16" s="7"/>
      <c r="X16" s="7"/>
      <c r="Y16" s="7"/>
      <c r="Z16" s="7"/>
    </row>
    <row r="17" spans="1:26" ht="154.5" customHeight="1">
      <c r="A17" s="162" t="s">
        <v>1057</v>
      </c>
      <c r="B17" s="163" t="s">
        <v>1058</v>
      </c>
      <c r="C17" s="163" t="s">
        <v>1059</v>
      </c>
      <c r="D17" s="163" t="s">
        <v>1060</v>
      </c>
      <c r="E17" s="129"/>
      <c r="F17" s="132" t="s">
        <v>583</v>
      </c>
      <c r="G17" s="130"/>
      <c r="H17" s="130"/>
      <c r="I17" s="133"/>
      <c r="J17" s="7"/>
      <c r="K17" s="7"/>
      <c r="L17" s="7"/>
      <c r="M17" s="7"/>
      <c r="N17" s="7"/>
      <c r="O17" s="7"/>
      <c r="P17" s="7"/>
      <c r="Q17" s="7"/>
      <c r="R17" s="7"/>
      <c r="S17" s="7"/>
      <c r="T17" s="7"/>
      <c r="U17" s="7"/>
      <c r="V17" s="7"/>
      <c r="W17" s="7"/>
      <c r="X17" s="7"/>
      <c r="Y17" s="7"/>
      <c r="Z17" s="7"/>
    </row>
    <row r="18" spans="1:26" ht="195" customHeight="1">
      <c r="A18" s="162" t="s">
        <v>1061</v>
      </c>
      <c r="B18" s="163" t="s">
        <v>1062</v>
      </c>
      <c r="C18" s="163" t="s">
        <v>1063</v>
      </c>
      <c r="D18" s="163" t="s">
        <v>1064</v>
      </c>
      <c r="E18" s="129"/>
      <c r="F18" s="132" t="s">
        <v>583</v>
      </c>
      <c r="G18" s="130"/>
      <c r="H18" s="130"/>
      <c r="I18" s="133"/>
      <c r="J18" s="7"/>
      <c r="K18" s="7"/>
      <c r="L18" s="7"/>
      <c r="M18" s="7"/>
      <c r="N18" s="7"/>
      <c r="O18" s="7"/>
      <c r="P18" s="7"/>
      <c r="Q18" s="7"/>
      <c r="R18" s="7"/>
      <c r="S18" s="7"/>
      <c r="T18" s="7"/>
      <c r="U18" s="7"/>
      <c r="V18" s="7"/>
      <c r="W18" s="7"/>
      <c r="X18" s="7"/>
      <c r="Y18" s="7"/>
      <c r="Z18" s="7"/>
    </row>
    <row r="19" spans="1:26" ht="141" customHeight="1">
      <c r="A19" s="162" t="s">
        <v>1065</v>
      </c>
      <c r="B19" s="163" t="s">
        <v>1066</v>
      </c>
      <c r="C19" s="163" t="s">
        <v>1067</v>
      </c>
      <c r="D19" s="163" t="s">
        <v>1068</v>
      </c>
      <c r="E19" s="129"/>
      <c r="F19" s="132" t="s">
        <v>583</v>
      </c>
      <c r="G19" s="130"/>
      <c r="H19" s="130"/>
      <c r="I19" s="133"/>
      <c r="J19" s="7"/>
      <c r="K19" s="7"/>
      <c r="L19" s="7"/>
      <c r="M19" s="7"/>
      <c r="N19" s="7"/>
      <c r="O19" s="7"/>
      <c r="P19" s="7"/>
      <c r="Q19" s="7"/>
      <c r="R19" s="7"/>
      <c r="S19" s="7"/>
      <c r="T19" s="7"/>
      <c r="U19" s="7"/>
      <c r="V19" s="7"/>
      <c r="W19" s="7"/>
      <c r="X19" s="7"/>
      <c r="Y19" s="7"/>
      <c r="Z19" s="7"/>
    </row>
    <row r="20" spans="1:26" ht="168" customHeight="1">
      <c r="A20" s="162" t="s">
        <v>1069</v>
      </c>
      <c r="B20" s="163" t="s">
        <v>614</v>
      </c>
      <c r="C20" s="163" t="s">
        <v>1070</v>
      </c>
      <c r="D20" s="163" t="s">
        <v>1071</v>
      </c>
      <c r="E20" s="122"/>
      <c r="F20" s="121" t="s">
        <v>583</v>
      </c>
      <c r="G20" s="124"/>
      <c r="H20" s="121"/>
      <c r="I20" s="133"/>
      <c r="J20" s="7"/>
      <c r="K20" s="7"/>
      <c r="L20" s="7"/>
      <c r="M20" s="7"/>
      <c r="N20" s="7"/>
      <c r="O20" s="7"/>
      <c r="P20" s="7"/>
      <c r="Q20" s="7"/>
      <c r="R20" s="7"/>
      <c r="S20" s="7"/>
      <c r="T20" s="7"/>
      <c r="U20" s="7"/>
      <c r="V20" s="7"/>
      <c r="W20" s="7"/>
      <c r="X20" s="7"/>
      <c r="Y20" s="7"/>
      <c r="Z20" s="7"/>
    </row>
    <row r="21" spans="1:26" ht="117.75" customHeight="1">
      <c r="A21" s="162" t="s">
        <v>1072</v>
      </c>
      <c r="B21" s="163" t="s">
        <v>1073</v>
      </c>
      <c r="C21" s="163" t="s">
        <v>1074</v>
      </c>
      <c r="D21" s="163" t="s">
        <v>1075</v>
      </c>
      <c r="E21" s="122" t="s">
        <v>645</v>
      </c>
      <c r="F21" s="121" t="s">
        <v>583</v>
      </c>
      <c r="G21" s="124"/>
      <c r="H21" s="121"/>
      <c r="I21" s="133"/>
      <c r="J21" s="7"/>
      <c r="K21" s="7"/>
      <c r="L21" s="7"/>
      <c r="M21" s="7"/>
      <c r="N21" s="7"/>
      <c r="O21" s="7"/>
      <c r="P21" s="7"/>
      <c r="Q21" s="7"/>
      <c r="R21" s="7"/>
      <c r="S21" s="7"/>
      <c r="T21" s="7"/>
      <c r="U21" s="7"/>
      <c r="V21" s="7"/>
      <c r="W21" s="7"/>
      <c r="X21" s="7"/>
      <c r="Y21" s="7"/>
      <c r="Z21" s="7"/>
    </row>
    <row r="22" spans="1:26" ht="66.75" customHeight="1">
      <c r="A22" s="173" t="s">
        <v>1076</v>
      </c>
      <c r="B22" s="163" t="s">
        <v>1077</v>
      </c>
      <c r="C22" s="163" t="s">
        <v>1078</v>
      </c>
      <c r="D22" s="163" t="s">
        <v>1079</v>
      </c>
      <c r="E22" s="174"/>
      <c r="F22" s="121" t="s">
        <v>583</v>
      </c>
      <c r="G22" s="124"/>
      <c r="H22" s="121"/>
      <c r="I22" s="133"/>
      <c r="J22" s="7"/>
      <c r="K22" s="7"/>
      <c r="L22" s="7"/>
      <c r="M22" s="7"/>
      <c r="N22" s="7"/>
      <c r="O22" s="7"/>
      <c r="P22" s="7"/>
      <c r="Q22" s="7"/>
      <c r="R22" s="7"/>
      <c r="S22" s="7"/>
      <c r="T22" s="7"/>
      <c r="U22" s="7"/>
      <c r="V22" s="7"/>
      <c r="W22" s="7"/>
      <c r="X22" s="7"/>
      <c r="Y22" s="7"/>
      <c r="Z22" s="7"/>
    </row>
    <row r="23" spans="1:26" ht="90.75" customHeight="1">
      <c r="A23" s="175" t="s">
        <v>1080</v>
      </c>
      <c r="B23" s="163" t="s">
        <v>1081</v>
      </c>
      <c r="C23" s="163" t="s">
        <v>1082</v>
      </c>
      <c r="D23" s="163" t="s">
        <v>1083</v>
      </c>
      <c r="E23" s="163" t="s">
        <v>1025</v>
      </c>
      <c r="F23" s="121" t="s">
        <v>583</v>
      </c>
      <c r="G23" s="124"/>
      <c r="H23" s="121"/>
      <c r="I23" s="133"/>
      <c r="J23" s="7"/>
      <c r="K23" s="7"/>
      <c r="L23" s="7"/>
      <c r="M23" s="7"/>
      <c r="N23" s="7"/>
      <c r="O23" s="7"/>
      <c r="P23" s="7"/>
      <c r="Q23" s="7"/>
      <c r="R23" s="7"/>
      <c r="S23" s="7"/>
      <c r="T23" s="7"/>
      <c r="U23" s="7"/>
      <c r="V23" s="7"/>
      <c r="W23" s="7"/>
      <c r="X23" s="7"/>
      <c r="Y23" s="7"/>
      <c r="Z23" s="7"/>
    </row>
    <row r="24" spans="1:26" ht="81" customHeight="1">
      <c r="A24" s="175" t="s">
        <v>1084</v>
      </c>
      <c r="B24" s="163" t="s">
        <v>1085</v>
      </c>
      <c r="C24" s="163" t="s">
        <v>1086</v>
      </c>
      <c r="D24" s="163" t="s">
        <v>1087</v>
      </c>
      <c r="E24" s="163" t="s">
        <v>1029</v>
      </c>
      <c r="F24" s="121" t="s">
        <v>583</v>
      </c>
      <c r="G24" s="124"/>
      <c r="H24" s="130"/>
      <c r="I24" s="133"/>
      <c r="J24" s="7"/>
      <c r="K24" s="7"/>
      <c r="L24" s="7"/>
      <c r="M24" s="7"/>
      <c r="N24" s="7"/>
      <c r="O24" s="7"/>
      <c r="P24" s="7"/>
      <c r="Q24" s="7"/>
      <c r="R24" s="7"/>
      <c r="S24" s="7"/>
      <c r="T24" s="7"/>
      <c r="U24" s="7"/>
      <c r="V24" s="7"/>
      <c r="W24" s="7"/>
      <c r="X24" s="7"/>
      <c r="Y24" s="7"/>
      <c r="Z24" s="7"/>
    </row>
    <row r="25" spans="1:26" ht="108" customHeight="1">
      <c r="A25" s="175" t="s">
        <v>1088</v>
      </c>
      <c r="B25" s="163" t="s">
        <v>1089</v>
      </c>
      <c r="C25" s="163" t="s">
        <v>1090</v>
      </c>
      <c r="D25" s="163" t="s">
        <v>1091</v>
      </c>
      <c r="E25" s="174"/>
      <c r="F25" s="121" t="s">
        <v>583</v>
      </c>
      <c r="G25" s="124"/>
      <c r="H25" s="135"/>
      <c r="I25" s="133"/>
      <c r="J25" s="7"/>
      <c r="K25" s="7"/>
      <c r="L25" s="7"/>
      <c r="M25" s="7"/>
      <c r="N25" s="7"/>
      <c r="O25" s="7"/>
      <c r="P25" s="7"/>
      <c r="Q25" s="7"/>
      <c r="R25" s="7"/>
      <c r="S25" s="7"/>
      <c r="T25" s="7"/>
      <c r="U25" s="7"/>
      <c r="V25" s="7"/>
      <c r="W25" s="7"/>
      <c r="X25" s="7"/>
      <c r="Y25" s="7"/>
      <c r="Z25" s="7"/>
    </row>
    <row r="26" spans="1:26" ht="120.75" customHeight="1">
      <c r="A26" s="175" t="s">
        <v>1092</v>
      </c>
      <c r="B26" s="163" t="s">
        <v>1093</v>
      </c>
      <c r="C26" s="163" t="s">
        <v>1094</v>
      </c>
      <c r="D26" s="163" t="s">
        <v>1095</v>
      </c>
      <c r="E26" s="163" t="s">
        <v>1029</v>
      </c>
      <c r="F26" s="121" t="s">
        <v>583</v>
      </c>
      <c r="G26" s="124"/>
      <c r="H26" s="135"/>
      <c r="I26" s="133"/>
      <c r="J26" s="7"/>
      <c r="K26" s="7"/>
      <c r="L26" s="7"/>
      <c r="M26" s="7"/>
      <c r="N26" s="7"/>
      <c r="O26" s="7"/>
      <c r="P26" s="7"/>
      <c r="Q26" s="7"/>
      <c r="R26" s="7"/>
      <c r="S26" s="7"/>
      <c r="T26" s="7"/>
      <c r="U26" s="7"/>
      <c r="V26" s="7"/>
      <c r="W26" s="7"/>
      <c r="X26" s="7"/>
      <c r="Y26" s="7"/>
      <c r="Z26" s="7"/>
    </row>
    <row r="27" spans="1:26" ht="110.25" customHeight="1">
      <c r="A27" s="176" t="s">
        <v>1096</v>
      </c>
      <c r="B27" s="163" t="s">
        <v>1097</v>
      </c>
      <c r="C27" s="163" t="s">
        <v>1098</v>
      </c>
      <c r="D27" s="163" t="s">
        <v>1099</v>
      </c>
      <c r="E27" s="177" t="s">
        <v>1029</v>
      </c>
      <c r="F27" s="121" t="s">
        <v>583</v>
      </c>
      <c r="G27" s="124"/>
      <c r="H27" s="125"/>
      <c r="I27" s="133"/>
      <c r="J27" s="7"/>
      <c r="K27" s="7"/>
      <c r="L27" s="7"/>
      <c r="M27" s="7"/>
      <c r="N27" s="7"/>
      <c r="O27" s="7"/>
      <c r="P27" s="7"/>
      <c r="Q27" s="7"/>
      <c r="R27" s="7"/>
      <c r="S27" s="7"/>
      <c r="T27" s="7"/>
      <c r="U27" s="7"/>
      <c r="V27" s="7"/>
      <c r="W27" s="7"/>
      <c r="X27" s="7"/>
      <c r="Y27" s="7"/>
      <c r="Z27" s="7"/>
    </row>
    <row r="28" spans="1:26" ht="124.5" customHeight="1">
      <c r="A28" s="176" t="s">
        <v>1100</v>
      </c>
      <c r="B28" s="163" t="s">
        <v>1101</v>
      </c>
      <c r="C28" s="163" t="s">
        <v>1102</v>
      </c>
      <c r="D28" s="163" t="s">
        <v>1103</v>
      </c>
      <c r="E28" s="177" t="s">
        <v>1025</v>
      </c>
      <c r="F28" s="121" t="s">
        <v>583</v>
      </c>
      <c r="G28" s="124"/>
      <c r="H28" s="125"/>
      <c r="I28" s="133"/>
      <c r="J28" s="7"/>
      <c r="K28" s="7"/>
      <c r="L28" s="7"/>
      <c r="M28" s="7"/>
      <c r="N28" s="7"/>
      <c r="O28" s="7"/>
      <c r="P28" s="7"/>
      <c r="Q28" s="7"/>
      <c r="R28" s="7"/>
      <c r="S28" s="7"/>
      <c r="T28" s="7"/>
      <c r="U28" s="7"/>
      <c r="V28" s="7"/>
      <c r="W28" s="7"/>
      <c r="X28" s="7"/>
      <c r="Y28" s="7"/>
      <c r="Z28" s="7"/>
    </row>
    <row r="29" spans="1:26" ht="114" customHeight="1">
      <c r="A29" s="176" t="s">
        <v>1104</v>
      </c>
      <c r="B29" s="163" t="s">
        <v>1105</v>
      </c>
      <c r="C29" s="163" t="s">
        <v>1106</v>
      </c>
      <c r="D29" s="163" t="s">
        <v>1107</v>
      </c>
      <c r="E29" s="177" t="s">
        <v>1065</v>
      </c>
      <c r="F29" s="121" t="s">
        <v>583</v>
      </c>
      <c r="G29" s="124"/>
      <c r="H29" s="125"/>
      <c r="I29" s="133"/>
      <c r="J29" s="7"/>
      <c r="K29" s="7"/>
      <c r="L29" s="7"/>
      <c r="M29" s="7"/>
      <c r="N29" s="7"/>
      <c r="O29" s="7"/>
      <c r="P29" s="7"/>
      <c r="Q29" s="7"/>
      <c r="R29" s="7"/>
      <c r="S29" s="7"/>
      <c r="T29" s="7"/>
      <c r="U29" s="7"/>
      <c r="V29" s="7"/>
      <c r="W29" s="7"/>
      <c r="X29" s="7"/>
      <c r="Y29" s="7"/>
      <c r="Z29" s="7"/>
    </row>
    <row r="30" spans="1:26" ht="147.75" customHeight="1">
      <c r="A30" s="176" t="s">
        <v>1108</v>
      </c>
      <c r="B30" s="163" t="s">
        <v>1109</v>
      </c>
      <c r="C30" s="163" t="s">
        <v>1110</v>
      </c>
      <c r="D30" s="163" t="s">
        <v>1111</v>
      </c>
      <c r="E30" s="177" t="s">
        <v>1045</v>
      </c>
      <c r="F30" s="121" t="s">
        <v>583</v>
      </c>
      <c r="G30" s="124"/>
      <c r="H30" s="125"/>
      <c r="I30" s="133"/>
      <c r="J30" s="7"/>
      <c r="K30" s="7"/>
      <c r="L30" s="7"/>
      <c r="M30" s="7"/>
      <c r="N30" s="7"/>
      <c r="O30" s="7"/>
      <c r="P30" s="7"/>
      <c r="Q30" s="7"/>
      <c r="R30" s="7"/>
      <c r="S30" s="7"/>
      <c r="T30" s="7"/>
      <c r="U30" s="7"/>
      <c r="V30" s="7"/>
      <c r="W30" s="7"/>
      <c r="X30" s="7"/>
      <c r="Y30" s="7"/>
      <c r="Z30" s="7"/>
    </row>
    <row r="31" spans="1:26" ht="149.25" customHeight="1">
      <c r="A31" s="176" t="s">
        <v>1112</v>
      </c>
      <c r="B31" s="163" t="s">
        <v>1113</v>
      </c>
      <c r="C31" s="163" t="s">
        <v>1114</v>
      </c>
      <c r="D31" s="163" t="s">
        <v>1115</v>
      </c>
      <c r="E31" s="177" t="s">
        <v>1045</v>
      </c>
      <c r="F31" s="21" t="s">
        <v>583</v>
      </c>
      <c r="G31" s="130"/>
      <c r="H31" s="130"/>
      <c r="I31" s="133"/>
      <c r="J31" s="7"/>
      <c r="K31" s="7"/>
      <c r="L31" s="7"/>
      <c r="M31" s="7"/>
      <c r="N31" s="7"/>
      <c r="O31" s="7"/>
      <c r="P31" s="7"/>
      <c r="Q31" s="7"/>
      <c r="R31" s="7"/>
      <c r="S31" s="7"/>
      <c r="T31" s="7"/>
      <c r="U31" s="7"/>
      <c r="V31" s="7"/>
      <c r="W31" s="7"/>
      <c r="X31" s="7"/>
      <c r="Y31" s="7"/>
      <c r="Z31" s="7"/>
    </row>
    <row r="32" spans="1:26" ht="122.25" customHeight="1">
      <c r="A32" s="176" t="s">
        <v>1116</v>
      </c>
      <c r="B32" s="163" t="s">
        <v>1117</v>
      </c>
      <c r="C32" s="163" t="s">
        <v>1118</v>
      </c>
      <c r="D32" s="163" t="s">
        <v>1119</v>
      </c>
      <c r="E32" s="177" t="s">
        <v>1045</v>
      </c>
      <c r="F32" s="121" t="s">
        <v>583</v>
      </c>
      <c r="G32" s="124"/>
      <c r="H32" s="121"/>
      <c r="I32" s="178"/>
      <c r="J32" s="7"/>
      <c r="K32" s="7"/>
      <c r="L32" s="7"/>
      <c r="M32" s="7"/>
      <c r="N32" s="7"/>
      <c r="O32" s="7"/>
      <c r="P32" s="7"/>
      <c r="Q32" s="7"/>
      <c r="R32" s="7"/>
      <c r="S32" s="7"/>
      <c r="T32" s="7"/>
      <c r="U32" s="7"/>
      <c r="V32" s="7"/>
      <c r="W32" s="7"/>
      <c r="X32" s="7"/>
      <c r="Y32" s="7"/>
      <c r="Z32" s="7"/>
    </row>
    <row r="33" spans="1:26" ht="109.5" customHeight="1">
      <c r="A33" s="176" t="s">
        <v>1120</v>
      </c>
      <c r="B33" s="163" t="s">
        <v>1121</v>
      </c>
      <c r="C33" s="163" t="s">
        <v>1122</v>
      </c>
      <c r="D33" s="163" t="s">
        <v>1123</v>
      </c>
      <c r="E33" s="177" t="s">
        <v>1057</v>
      </c>
      <c r="F33" s="121" t="s">
        <v>583</v>
      </c>
      <c r="G33" s="124"/>
      <c r="H33" s="121"/>
      <c r="I33" s="178"/>
      <c r="J33" s="7"/>
      <c r="K33" s="7"/>
      <c r="L33" s="7"/>
      <c r="M33" s="7"/>
      <c r="N33" s="7"/>
      <c r="O33" s="7"/>
      <c r="P33" s="7"/>
      <c r="Q33" s="7"/>
      <c r="R33" s="7"/>
      <c r="S33" s="7"/>
      <c r="T33" s="7"/>
      <c r="U33" s="7"/>
      <c r="V33" s="7"/>
      <c r="W33" s="7"/>
      <c r="X33" s="7"/>
      <c r="Y33" s="7"/>
      <c r="Z33" s="7"/>
    </row>
    <row r="34" spans="1:26" ht="147" customHeight="1">
      <c r="A34" s="173" t="s">
        <v>1124</v>
      </c>
      <c r="B34" s="163" t="s">
        <v>1125</v>
      </c>
      <c r="C34" s="163" t="s">
        <v>1126</v>
      </c>
      <c r="D34" s="163" t="s">
        <v>1127</v>
      </c>
      <c r="E34" s="163" t="s">
        <v>1069</v>
      </c>
      <c r="F34" s="121" t="s">
        <v>583</v>
      </c>
      <c r="G34" s="124"/>
      <c r="H34" s="121"/>
      <c r="I34" s="178"/>
      <c r="J34" s="7"/>
      <c r="K34" s="7"/>
      <c r="L34" s="7"/>
      <c r="M34" s="7"/>
      <c r="N34" s="7"/>
      <c r="O34" s="7"/>
      <c r="P34" s="7"/>
      <c r="Q34" s="7"/>
      <c r="R34" s="7"/>
      <c r="S34" s="7"/>
      <c r="T34" s="7"/>
      <c r="U34" s="7"/>
      <c r="V34" s="7"/>
      <c r="W34" s="7"/>
      <c r="X34" s="7"/>
      <c r="Y34" s="7"/>
      <c r="Z34" s="7"/>
    </row>
    <row r="35" spans="1:26" ht="134.25" customHeight="1">
      <c r="A35" s="175" t="s">
        <v>1128</v>
      </c>
      <c r="B35" s="163" t="s">
        <v>1129</v>
      </c>
      <c r="C35" s="163" t="s">
        <v>1130</v>
      </c>
      <c r="D35" s="163" t="s">
        <v>1131</v>
      </c>
      <c r="E35" s="163" t="s">
        <v>1069</v>
      </c>
      <c r="F35" s="121" t="s">
        <v>583</v>
      </c>
      <c r="G35" s="124"/>
      <c r="H35" s="121"/>
      <c r="I35" s="178"/>
      <c r="J35" s="7"/>
      <c r="K35" s="7"/>
      <c r="L35" s="7"/>
      <c r="M35" s="7"/>
      <c r="N35" s="7"/>
      <c r="O35" s="7"/>
      <c r="P35" s="7"/>
      <c r="Q35" s="7"/>
      <c r="R35" s="7"/>
      <c r="S35" s="7"/>
      <c r="T35" s="7"/>
      <c r="U35" s="7"/>
      <c r="V35" s="7"/>
      <c r="W35" s="7"/>
      <c r="X35" s="7"/>
      <c r="Y35" s="7"/>
      <c r="Z35" s="7"/>
    </row>
    <row r="36" spans="1:26" ht="86.4">
      <c r="A36" s="162" t="s">
        <v>1132</v>
      </c>
      <c r="B36" s="163" t="s">
        <v>1133</v>
      </c>
      <c r="C36" s="163" t="s">
        <v>1134</v>
      </c>
      <c r="D36" s="163" t="s">
        <v>1135</v>
      </c>
      <c r="E36" s="163" t="s">
        <v>1069</v>
      </c>
      <c r="F36" s="130"/>
      <c r="G36" s="130"/>
      <c r="H36" s="130"/>
      <c r="I36" s="178"/>
      <c r="J36" s="7"/>
      <c r="K36" s="7"/>
      <c r="L36" s="7"/>
      <c r="M36" s="7"/>
      <c r="N36" s="7"/>
      <c r="O36" s="7"/>
      <c r="P36" s="7"/>
      <c r="Q36" s="7"/>
      <c r="R36" s="7"/>
      <c r="S36" s="7"/>
      <c r="T36" s="7"/>
      <c r="U36" s="7"/>
      <c r="V36" s="7"/>
      <c r="W36" s="7"/>
      <c r="X36" s="7"/>
      <c r="Y36" s="7"/>
      <c r="Z36" s="7"/>
    </row>
    <row r="37" spans="1:26" ht="57.6">
      <c r="A37" s="162" t="s">
        <v>1136</v>
      </c>
      <c r="B37" s="163" t="s">
        <v>1137</v>
      </c>
      <c r="C37" s="163" t="s">
        <v>1138</v>
      </c>
      <c r="D37" s="163" t="s">
        <v>1139</v>
      </c>
      <c r="E37" s="163" t="s">
        <v>1065</v>
      </c>
      <c r="F37" s="130"/>
      <c r="G37" s="130"/>
      <c r="H37" s="130"/>
      <c r="I37" s="178"/>
      <c r="J37" s="7"/>
      <c r="K37" s="7"/>
      <c r="L37" s="7"/>
      <c r="M37" s="7"/>
      <c r="N37" s="7"/>
      <c r="O37" s="7"/>
      <c r="P37" s="7"/>
      <c r="Q37" s="7"/>
      <c r="R37" s="7"/>
      <c r="S37" s="7"/>
      <c r="T37" s="7"/>
      <c r="U37" s="7"/>
      <c r="V37" s="7"/>
      <c r="W37" s="7"/>
      <c r="X37" s="7"/>
      <c r="Y37" s="7"/>
      <c r="Z37" s="7"/>
    </row>
    <row r="38" spans="1:26" ht="129.6">
      <c r="A38" s="162" t="s">
        <v>1140</v>
      </c>
      <c r="B38" s="163" t="s">
        <v>1141</v>
      </c>
      <c r="C38" s="163" t="s">
        <v>1142</v>
      </c>
      <c r="D38" s="163" t="s">
        <v>1143</v>
      </c>
      <c r="E38" s="163" t="s">
        <v>1144</v>
      </c>
      <c r="F38" s="130"/>
      <c r="G38" s="130"/>
      <c r="H38" s="130"/>
      <c r="I38" s="178"/>
      <c r="J38" s="7"/>
      <c r="K38" s="7"/>
      <c r="L38" s="7"/>
      <c r="M38" s="7"/>
      <c r="N38" s="7"/>
      <c r="O38" s="7"/>
      <c r="P38" s="7"/>
      <c r="Q38" s="7"/>
      <c r="R38" s="7"/>
      <c r="S38" s="7"/>
      <c r="T38" s="7"/>
      <c r="U38" s="7"/>
      <c r="V38" s="7"/>
      <c r="W38" s="7"/>
      <c r="X38" s="7"/>
      <c r="Y38" s="7"/>
      <c r="Z38" s="7"/>
    </row>
    <row r="39" spans="1:26" ht="12.75" customHeight="1">
      <c r="A39" s="179"/>
      <c r="B39" s="179"/>
      <c r="C39" s="179"/>
      <c r="D39" s="179"/>
      <c r="E39" s="179"/>
      <c r="F39" s="179"/>
      <c r="G39" s="179"/>
      <c r="H39" s="179"/>
      <c r="I39" s="13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13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13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13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13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13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13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13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13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13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13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13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13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13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13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13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13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13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13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13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13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13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13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13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13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13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13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13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13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13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13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13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13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13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13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13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13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13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13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13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13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13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13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13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13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13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13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13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13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13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13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13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13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13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13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13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13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13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13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13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13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13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13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13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13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13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13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13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13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13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13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13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13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13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13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13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13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13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13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13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13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13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13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13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13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13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13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13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13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13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13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13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13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13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13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13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13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13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13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13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13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13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13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13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13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13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13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13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13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13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13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13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13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13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13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13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13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13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13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13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13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13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13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13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13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13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13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13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13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13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13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13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13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13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13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13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13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13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13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13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13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13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13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13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13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13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13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13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13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13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13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13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13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13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13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13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13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13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13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13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13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13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13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13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13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13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13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13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13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13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13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13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13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13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13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13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13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13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13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13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13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13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13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13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13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13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13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13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13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13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13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13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13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13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13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13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133"/>
      <c r="J235" s="7"/>
      <c r="K235" s="7"/>
      <c r="L235" s="7"/>
      <c r="M235" s="7"/>
      <c r="N235" s="7"/>
      <c r="O235" s="7"/>
      <c r="P235" s="7"/>
      <c r="Q235" s="7"/>
      <c r="R235" s="7"/>
      <c r="S235" s="7"/>
      <c r="T235" s="7"/>
      <c r="U235" s="7"/>
      <c r="V235" s="7"/>
      <c r="W235" s="7"/>
      <c r="X235" s="7"/>
      <c r="Y235" s="7"/>
      <c r="Z235" s="7"/>
    </row>
    <row r="236" spans="1:26" ht="14.25" customHeight="1"/>
    <row r="237" spans="1:26" ht="14.25" customHeight="1"/>
    <row r="238" spans="1:26" ht="14.25" customHeight="1"/>
    <row r="239" spans="1:26" ht="14.25" customHeight="1"/>
    <row r="240" spans="1:26"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2:H2"/>
    <mergeCell ref="B3:H3"/>
    <mergeCell ref="B4:H4"/>
    <mergeCell ref="F5:H5"/>
    <mergeCell ref="F6:H6"/>
  </mergeCells>
  <dataValidations count="1">
    <dataValidation type="list" allowBlank="1" showInputMessage="1" showErrorMessage="1" prompt=" - " sqref="F1 F7:F143" xr:uid="{00000000-0002-0000-0700-000000000000}">
      <formula1>$J$2:$J$6</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1"/>
  <sheetViews>
    <sheetView tabSelected="1" workbookViewId="0">
      <selection activeCell="E19" sqref="E19"/>
    </sheetView>
  </sheetViews>
  <sheetFormatPr defaultColWidth="14.44140625" defaultRowHeight="15" customHeight="1"/>
  <cols>
    <col min="1" max="1" width="10.33203125" customWidth="1"/>
    <col min="2" max="2" width="15.44140625" customWidth="1"/>
    <col min="3" max="3" width="25.109375" customWidth="1"/>
    <col min="4" max="6" width="10.33203125" customWidth="1"/>
    <col min="7" max="7" width="11.33203125" customWidth="1"/>
    <col min="8" max="8" width="11.6640625" customWidth="1"/>
    <col min="9" max="9" width="30.109375" customWidth="1"/>
    <col min="10" max="26" width="9.109375" customWidth="1"/>
  </cols>
  <sheetData>
    <row r="1" spans="1:26" ht="30.75" customHeight="1">
      <c r="A1" s="7"/>
      <c r="B1" s="220" t="s">
        <v>1145</v>
      </c>
      <c r="C1" s="221"/>
      <c r="D1" s="221"/>
      <c r="E1" s="221"/>
      <c r="F1" s="221"/>
      <c r="G1" s="221"/>
      <c r="H1" s="222"/>
      <c r="I1" s="7"/>
      <c r="J1" s="7"/>
      <c r="K1" s="7"/>
      <c r="L1" s="7"/>
      <c r="M1" s="7"/>
      <c r="N1" s="7"/>
      <c r="O1" s="7"/>
      <c r="P1" s="7"/>
      <c r="Q1" s="7"/>
      <c r="R1" s="7"/>
      <c r="S1" s="7"/>
      <c r="T1" s="7"/>
      <c r="U1" s="7"/>
      <c r="V1" s="7"/>
      <c r="W1" s="7"/>
      <c r="X1" s="7"/>
      <c r="Y1" s="7"/>
      <c r="Z1" s="7"/>
    </row>
    <row r="2" spans="1:26" ht="18" customHeight="1">
      <c r="A2" s="180"/>
      <c r="B2" s="180"/>
      <c r="C2" s="7"/>
      <c r="D2" s="7"/>
      <c r="E2" s="7"/>
      <c r="F2" s="7"/>
      <c r="G2" s="7"/>
      <c r="H2" s="181"/>
      <c r="I2" s="7"/>
      <c r="J2" s="7"/>
      <c r="K2" s="7"/>
      <c r="L2" s="7"/>
      <c r="M2" s="7"/>
      <c r="N2" s="7"/>
      <c r="O2" s="7"/>
      <c r="P2" s="7"/>
      <c r="Q2" s="7"/>
      <c r="R2" s="7"/>
      <c r="S2" s="7"/>
      <c r="T2" s="7"/>
      <c r="U2" s="7"/>
      <c r="V2" s="7"/>
      <c r="W2" s="7"/>
      <c r="X2" s="7"/>
      <c r="Y2" s="7"/>
      <c r="Z2" s="7"/>
    </row>
    <row r="3" spans="1:26" ht="18" customHeight="1">
      <c r="A3" s="7"/>
      <c r="B3" s="182" t="s">
        <v>1</v>
      </c>
      <c r="C3" s="211" t="str">
        <f>Cover!C4</f>
        <v>DOLIBARR</v>
      </c>
      <c r="D3" s="199"/>
      <c r="E3" s="223" t="s">
        <v>3</v>
      </c>
      <c r="F3" s="199"/>
      <c r="G3" s="183" t="s">
        <v>4</v>
      </c>
      <c r="H3" s="184"/>
      <c r="I3" s="7"/>
      <c r="J3" s="7"/>
      <c r="K3" s="7"/>
      <c r="L3" s="7"/>
      <c r="M3" s="7"/>
      <c r="N3" s="7"/>
      <c r="O3" s="7"/>
      <c r="P3" s="7"/>
      <c r="Q3" s="7"/>
      <c r="R3" s="7"/>
      <c r="S3" s="7"/>
      <c r="T3" s="7"/>
      <c r="U3" s="7"/>
      <c r="V3" s="7"/>
      <c r="W3" s="7"/>
      <c r="X3" s="7"/>
      <c r="Y3" s="7"/>
      <c r="Z3" s="7"/>
    </row>
    <row r="4" spans="1:26" ht="17.25" customHeight="1">
      <c r="A4" s="7"/>
      <c r="B4" s="182" t="s">
        <v>5</v>
      </c>
      <c r="C4" s="211" t="str">
        <f>Cover!C5</f>
        <v>DOLIBARR</v>
      </c>
      <c r="D4" s="199"/>
      <c r="E4" s="223" t="s">
        <v>6</v>
      </c>
      <c r="F4" s="199"/>
      <c r="G4" s="183"/>
      <c r="H4" s="184"/>
      <c r="I4" s="7"/>
      <c r="J4" s="7"/>
      <c r="K4" s="7"/>
      <c r="L4" s="7"/>
      <c r="M4" s="7"/>
      <c r="N4" s="7"/>
      <c r="O4" s="7"/>
      <c r="P4" s="7"/>
      <c r="Q4" s="7"/>
      <c r="R4" s="7"/>
      <c r="S4" s="7"/>
      <c r="T4" s="7"/>
      <c r="U4" s="7"/>
      <c r="V4" s="7"/>
      <c r="W4" s="7"/>
      <c r="X4" s="7"/>
      <c r="Y4" s="7"/>
      <c r="Z4" s="7"/>
    </row>
    <row r="5" spans="1:26" ht="16.5" customHeight="1">
      <c r="A5" s="7"/>
      <c r="B5" s="185" t="s">
        <v>7</v>
      </c>
      <c r="C5" s="211" t="s">
        <v>1146</v>
      </c>
      <c r="D5" s="199"/>
      <c r="E5" s="223" t="s">
        <v>9</v>
      </c>
      <c r="F5" s="199"/>
      <c r="G5" s="186"/>
      <c r="H5" s="187"/>
      <c r="I5" s="7"/>
      <c r="J5" s="7"/>
      <c r="K5" s="7"/>
      <c r="L5" s="7"/>
      <c r="M5" s="7"/>
      <c r="N5" s="7"/>
      <c r="O5" s="7"/>
      <c r="P5" s="7"/>
      <c r="Q5" s="7"/>
      <c r="R5" s="7"/>
      <c r="S5" s="7"/>
      <c r="T5" s="7"/>
      <c r="U5" s="7"/>
      <c r="V5" s="7"/>
      <c r="W5" s="7"/>
      <c r="X5" s="7"/>
      <c r="Y5" s="7"/>
      <c r="Z5" s="7"/>
    </row>
    <row r="6" spans="1:26" ht="13.5" customHeight="1">
      <c r="A6" s="180"/>
      <c r="B6" s="185" t="s">
        <v>1147</v>
      </c>
      <c r="C6" s="213"/>
      <c r="D6" s="198"/>
      <c r="E6" s="198"/>
      <c r="F6" s="198"/>
      <c r="G6" s="198"/>
      <c r="H6" s="199"/>
      <c r="I6" s="7"/>
      <c r="J6" s="7"/>
      <c r="K6" s="7"/>
      <c r="L6" s="7"/>
      <c r="M6" s="7"/>
      <c r="N6" s="7"/>
      <c r="O6" s="7"/>
      <c r="P6" s="7"/>
      <c r="Q6" s="7"/>
      <c r="R6" s="7"/>
      <c r="S6" s="7"/>
      <c r="T6" s="7"/>
      <c r="U6" s="7"/>
      <c r="V6" s="7"/>
      <c r="W6" s="7"/>
      <c r="X6" s="7"/>
      <c r="Y6" s="7"/>
      <c r="Z6" s="7"/>
    </row>
    <row r="7" spans="1:26" ht="9" customHeight="1">
      <c r="A7" s="180"/>
      <c r="B7" s="12"/>
      <c r="C7" s="188"/>
      <c r="D7" s="7"/>
      <c r="E7" s="7"/>
      <c r="F7" s="7"/>
      <c r="G7" s="7"/>
      <c r="H7" s="181"/>
      <c r="I7" s="7"/>
      <c r="J7" s="7"/>
      <c r="K7" s="7"/>
      <c r="L7" s="7"/>
      <c r="M7" s="7"/>
      <c r="N7" s="7"/>
      <c r="O7" s="7"/>
      <c r="P7" s="7"/>
      <c r="Q7" s="7"/>
      <c r="R7" s="7"/>
      <c r="S7" s="7"/>
      <c r="T7" s="7"/>
      <c r="U7" s="7"/>
      <c r="V7" s="7"/>
      <c r="W7" s="7"/>
      <c r="X7" s="7"/>
      <c r="Y7" s="7"/>
      <c r="Z7" s="7"/>
    </row>
    <row r="8" spans="1:26" ht="7.5" customHeight="1">
      <c r="A8" s="7"/>
      <c r="B8" s="12"/>
      <c r="C8" s="188"/>
      <c r="D8" s="7"/>
      <c r="E8" s="7"/>
      <c r="F8" s="7"/>
      <c r="G8" s="7"/>
      <c r="H8" s="181"/>
      <c r="I8" s="7"/>
      <c r="J8" s="7"/>
      <c r="K8" s="7"/>
      <c r="L8" s="7"/>
      <c r="M8" s="7"/>
      <c r="N8" s="7"/>
      <c r="O8" s="7"/>
      <c r="P8" s="7"/>
      <c r="Q8" s="7"/>
      <c r="R8" s="7"/>
      <c r="S8" s="7"/>
      <c r="T8" s="7"/>
      <c r="U8" s="7"/>
      <c r="V8" s="7"/>
      <c r="W8" s="7"/>
      <c r="X8" s="7"/>
      <c r="Y8" s="7"/>
      <c r="Z8" s="7"/>
    </row>
    <row r="9" spans="1:26" ht="3" customHeight="1">
      <c r="A9" s="7"/>
      <c r="B9" s="7"/>
      <c r="C9" s="7"/>
      <c r="D9" s="7"/>
      <c r="E9" s="7"/>
      <c r="F9" s="7"/>
      <c r="G9" s="7"/>
      <c r="H9" s="7"/>
      <c r="I9" s="7"/>
      <c r="J9" s="7"/>
      <c r="K9" s="7"/>
      <c r="L9" s="7"/>
      <c r="M9" s="7"/>
      <c r="N9" s="7"/>
      <c r="O9" s="7"/>
      <c r="P9" s="7"/>
      <c r="Q9" s="7"/>
      <c r="R9" s="7"/>
      <c r="S9" s="7"/>
      <c r="T9" s="7"/>
      <c r="U9" s="7"/>
      <c r="V9" s="7"/>
      <c r="W9" s="7"/>
      <c r="X9" s="7"/>
      <c r="Y9" s="7"/>
      <c r="Z9" s="7"/>
    </row>
    <row r="10" spans="1:26" ht="14.25" customHeight="1">
      <c r="A10" s="189"/>
      <c r="B10" s="228" t="s">
        <v>34</v>
      </c>
      <c r="C10" s="229" t="s">
        <v>1148</v>
      </c>
      <c r="D10" s="230" t="s">
        <v>1149</v>
      </c>
      <c r="E10" s="229" t="s">
        <v>1150</v>
      </c>
      <c r="F10" s="229" t="s">
        <v>583</v>
      </c>
      <c r="G10" s="231" t="s">
        <v>582</v>
      </c>
      <c r="H10" s="232" t="s">
        <v>584</v>
      </c>
      <c r="I10" s="232" t="s">
        <v>1151</v>
      </c>
      <c r="J10" s="7"/>
      <c r="K10" s="7"/>
      <c r="L10" s="7"/>
      <c r="M10" s="7"/>
      <c r="N10" s="7"/>
      <c r="O10" s="7"/>
      <c r="P10" s="7"/>
      <c r="Q10" s="7"/>
      <c r="R10" s="7"/>
      <c r="S10" s="7"/>
      <c r="T10" s="7"/>
      <c r="U10" s="7"/>
      <c r="V10" s="7"/>
      <c r="W10" s="7"/>
      <c r="X10" s="7"/>
      <c r="Y10" s="7"/>
      <c r="Z10" s="7"/>
    </row>
    <row r="11" spans="1:26" ht="18" customHeight="1">
      <c r="A11" s="233"/>
      <c r="B11" s="192">
        <v>1</v>
      </c>
      <c r="C11" s="190" t="s">
        <v>576</v>
      </c>
      <c r="D11" s="192">
        <f>Product!A6</f>
        <v>0</v>
      </c>
      <c r="E11" s="192">
        <f>Product!B6</f>
        <v>0</v>
      </c>
      <c r="F11" s="192">
        <v>27</v>
      </c>
      <c r="G11" s="192">
        <f>Product!D6</f>
        <v>0</v>
      </c>
      <c r="H11" s="192">
        <f>Product!E6</f>
        <v>0</v>
      </c>
      <c r="I11" s="192">
        <v>27</v>
      </c>
      <c r="J11" s="7"/>
      <c r="K11" s="7"/>
      <c r="L11" s="7"/>
      <c r="M11" s="7"/>
      <c r="N11" s="7"/>
      <c r="O11" s="7"/>
      <c r="P11" s="7"/>
      <c r="Q11" s="7"/>
      <c r="R11" s="7"/>
      <c r="S11" s="7"/>
      <c r="T11" s="7"/>
      <c r="U11" s="7"/>
      <c r="V11" s="7"/>
      <c r="W11" s="7"/>
      <c r="X11" s="7"/>
      <c r="Y11" s="7"/>
      <c r="Z11" s="7"/>
    </row>
    <row r="12" spans="1:26" ht="12" customHeight="1">
      <c r="A12" s="233"/>
      <c r="B12" s="192">
        <v>2</v>
      </c>
      <c r="C12" s="191" t="s">
        <v>704</v>
      </c>
      <c r="D12" s="192" t="e">
        <f t="shared" ref="D12:E12" si="0">#REF!</f>
        <v>#REF!</v>
      </c>
      <c r="E12" s="192" t="e">
        <f t="shared" si="0"/>
        <v>#REF!</v>
      </c>
      <c r="F12" s="192">
        <v>26</v>
      </c>
      <c r="G12" s="192" t="e">
        <f t="shared" ref="G12:H12" si="1">#REF!</f>
        <v>#REF!</v>
      </c>
      <c r="H12" s="192" t="e">
        <f t="shared" si="1"/>
        <v>#REF!</v>
      </c>
      <c r="I12" s="192">
        <v>26</v>
      </c>
      <c r="J12" s="7"/>
      <c r="K12" s="7"/>
      <c r="L12" s="7"/>
      <c r="M12" s="7"/>
      <c r="N12" s="7"/>
      <c r="O12" s="7"/>
      <c r="P12" s="7"/>
      <c r="Q12" s="7"/>
      <c r="R12" s="7"/>
      <c r="S12" s="7"/>
      <c r="T12" s="7"/>
      <c r="U12" s="7"/>
      <c r="V12" s="7"/>
      <c r="W12" s="7"/>
      <c r="X12" s="7"/>
      <c r="Y12" s="7"/>
      <c r="Z12" s="7"/>
    </row>
    <row r="13" spans="1:26" ht="13.5" customHeight="1">
      <c r="A13" s="233"/>
      <c r="B13" s="192">
        <v>3</v>
      </c>
      <c r="C13" s="191" t="s">
        <v>1152</v>
      </c>
      <c r="D13" s="192" t="e">
        <f t="shared" ref="D13:E13" si="2">#REF!</f>
        <v>#REF!</v>
      </c>
      <c r="E13" s="192" t="e">
        <f t="shared" si="2"/>
        <v>#REF!</v>
      </c>
      <c r="F13" s="192">
        <v>27</v>
      </c>
      <c r="G13" s="192" t="e">
        <f t="shared" ref="G13:H13" si="3">#REF!</f>
        <v>#REF!</v>
      </c>
      <c r="H13" s="192" t="e">
        <f t="shared" si="3"/>
        <v>#REF!</v>
      </c>
      <c r="I13" s="192">
        <v>27</v>
      </c>
      <c r="J13" s="7"/>
      <c r="K13" s="7"/>
      <c r="L13" s="7"/>
      <c r="M13" s="7"/>
      <c r="N13" s="7"/>
      <c r="O13" s="7"/>
      <c r="P13" s="7"/>
      <c r="Q13" s="7"/>
      <c r="R13" s="7"/>
      <c r="S13" s="7"/>
      <c r="T13" s="7"/>
      <c r="U13" s="7"/>
      <c r="V13" s="7"/>
      <c r="W13" s="7"/>
      <c r="X13" s="7"/>
      <c r="Y13" s="7"/>
      <c r="Z13" s="7"/>
    </row>
    <row r="14" spans="1:26" ht="14.4">
      <c r="A14" s="233"/>
      <c r="B14" s="192">
        <v>4</v>
      </c>
      <c r="C14" s="234" t="s">
        <v>805</v>
      </c>
      <c r="D14" s="235">
        <v>0</v>
      </c>
      <c r="E14" s="235">
        <v>0</v>
      </c>
      <c r="F14" s="236">
        <v>29</v>
      </c>
      <c r="G14" s="235">
        <v>0</v>
      </c>
      <c r="H14" s="235">
        <v>0</v>
      </c>
      <c r="I14" s="192">
        <f>'Commercial Proposals'!F6</f>
        <v>29</v>
      </c>
      <c r="J14" s="7"/>
      <c r="K14" s="7"/>
      <c r="L14" s="7"/>
      <c r="M14" s="7"/>
      <c r="N14" s="7"/>
      <c r="O14" s="7"/>
      <c r="P14" s="7"/>
      <c r="Q14" s="7"/>
      <c r="R14" s="7"/>
      <c r="S14" s="7"/>
      <c r="T14" s="7"/>
      <c r="U14" s="7"/>
      <c r="V14" s="7"/>
      <c r="W14" s="7"/>
      <c r="X14" s="7"/>
      <c r="Y14" s="7"/>
      <c r="Z14" s="7"/>
    </row>
    <row r="15" spans="1:26" ht="17.25" customHeight="1">
      <c r="A15" s="233"/>
      <c r="B15" s="236">
        <v>5</v>
      </c>
      <c r="C15" s="234" t="s">
        <v>1023</v>
      </c>
      <c r="D15" s="237"/>
      <c r="E15" s="237"/>
      <c r="F15" s="236">
        <v>30</v>
      </c>
      <c r="G15" s="237"/>
      <c r="H15" s="237"/>
      <c r="I15" s="236">
        <v>30</v>
      </c>
      <c r="J15" s="7"/>
      <c r="K15" s="7"/>
      <c r="L15" s="7"/>
      <c r="M15" s="7"/>
      <c r="N15" s="7"/>
      <c r="O15" s="7"/>
      <c r="P15" s="7"/>
      <c r="Q15" s="7"/>
      <c r="R15" s="7"/>
      <c r="S15" s="7"/>
      <c r="T15" s="7"/>
      <c r="U15" s="7"/>
      <c r="V15" s="7"/>
      <c r="W15" s="7"/>
      <c r="X15" s="7"/>
      <c r="Y15" s="7"/>
      <c r="Z15" s="7"/>
    </row>
    <row r="16" spans="1:26" ht="11.25" customHeight="1">
      <c r="A16" s="189"/>
      <c r="B16" s="224"/>
      <c r="C16" s="225" t="s">
        <v>1153</v>
      </c>
      <c r="D16" s="226" t="e">
        <f t="shared" ref="D16:E16" si="4">SUM(D11:D14)</f>
        <v>#REF!</v>
      </c>
      <c r="E16" s="226" t="e">
        <f t="shared" si="4"/>
        <v>#REF!</v>
      </c>
      <c r="F16" s="226">
        <f>SUM(F11:F15)</f>
        <v>139</v>
      </c>
      <c r="G16" s="226" t="e">
        <f t="shared" ref="G16:H16" si="5">SUM(G11:G14)</f>
        <v>#REF!</v>
      </c>
      <c r="H16" s="227" t="e">
        <f t="shared" si="5"/>
        <v>#REF!</v>
      </c>
      <c r="I16" s="227">
        <f>SUM(I11:I15)</f>
        <v>139</v>
      </c>
      <c r="J16" s="7"/>
      <c r="K16" s="7"/>
      <c r="L16" s="7"/>
      <c r="M16" s="7"/>
      <c r="N16" s="7"/>
      <c r="O16" s="7"/>
      <c r="P16" s="7"/>
      <c r="Q16" s="7"/>
      <c r="R16" s="7"/>
      <c r="S16" s="7"/>
      <c r="T16" s="7"/>
      <c r="U16" s="7"/>
      <c r="V16" s="7"/>
      <c r="W16" s="7"/>
      <c r="X16" s="7"/>
      <c r="Y16" s="7"/>
      <c r="Z16" s="7"/>
    </row>
    <row r="17" spans="1:26" ht="8.25" customHeight="1">
      <c r="A17" s="7"/>
      <c r="B17" s="193"/>
      <c r="C17" s="7"/>
      <c r="D17" s="194"/>
      <c r="E17" s="195"/>
      <c r="F17" s="195"/>
      <c r="G17" s="195"/>
      <c r="H17" s="195"/>
      <c r="I17" s="7"/>
      <c r="J17" s="7"/>
      <c r="K17" s="7"/>
      <c r="L17" s="7"/>
      <c r="M17" s="7"/>
      <c r="N17" s="7"/>
      <c r="O17" s="7"/>
      <c r="P17" s="7"/>
      <c r="Q17" s="7"/>
      <c r="R17" s="7"/>
      <c r="S17" s="7"/>
      <c r="T17" s="7"/>
      <c r="U17" s="7"/>
      <c r="V17" s="7"/>
      <c r="W17" s="7"/>
      <c r="X17" s="7"/>
      <c r="Y17" s="7"/>
      <c r="Z17" s="7"/>
    </row>
    <row r="18" spans="1:26" ht="12.75" customHeight="1">
      <c r="A18" s="7"/>
      <c r="B18" s="7"/>
      <c r="C18" s="5" t="s">
        <v>1154</v>
      </c>
      <c r="D18" s="7"/>
      <c r="E18" s="196">
        <f>IFERROR((D16+E16)*100/(I16-G16-H16),0)</f>
        <v>0</v>
      </c>
      <c r="F18" s="7" t="s">
        <v>1155</v>
      </c>
      <c r="G18" s="7"/>
      <c r="H18" s="117"/>
      <c r="I18" s="7"/>
      <c r="J18" s="7"/>
      <c r="K18" s="7"/>
      <c r="L18" s="7"/>
      <c r="M18" s="7"/>
      <c r="N18" s="7"/>
      <c r="O18" s="7"/>
      <c r="P18" s="7"/>
      <c r="Q18" s="7"/>
      <c r="R18" s="7"/>
      <c r="S18" s="7"/>
      <c r="T18" s="7"/>
      <c r="U18" s="7"/>
      <c r="V18" s="7"/>
      <c r="W18" s="7"/>
      <c r="X18" s="7"/>
      <c r="Y18" s="7"/>
      <c r="Z18" s="7"/>
    </row>
    <row r="19" spans="1:26" ht="10.5" customHeight="1">
      <c r="A19" s="7"/>
      <c r="B19" s="7"/>
      <c r="C19" s="5" t="s">
        <v>1156</v>
      </c>
      <c r="D19" s="7"/>
      <c r="E19" s="196">
        <f>IFERROR(D16*100/(D16+E16),0)</f>
        <v>0</v>
      </c>
      <c r="F19" s="7" t="s">
        <v>1155</v>
      </c>
      <c r="G19" s="7"/>
      <c r="H19" s="117"/>
      <c r="I19" s="7"/>
      <c r="J19" s="7"/>
      <c r="K19" s="7"/>
      <c r="L19" s="7"/>
      <c r="M19" s="7"/>
      <c r="N19" s="7"/>
      <c r="O19" s="7"/>
      <c r="P19" s="7"/>
      <c r="Q19" s="7"/>
      <c r="R19" s="7"/>
      <c r="S19" s="7"/>
      <c r="T19" s="7"/>
      <c r="U19" s="7"/>
      <c r="V19" s="7"/>
      <c r="W19" s="7"/>
      <c r="X19" s="7"/>
      <c r="Y19" s="7"/>
      <c r="Z19" s="7"/>
    </row>
    <row r="20" spans="1:26" ht="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4.25" customHeight="1"/>
    <row r="223" spans="1:26" ht="14.25" customHeight="1"/>
    <row r="224" spans="1:26"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8">
    <mergeCell ref="C5:D5"/>
    <mergeCell ref="E5:F5"/>
    <mergeCell ref="C6:H6"/>
    <mergeCell ref="B1:H1"/>
    <mergeCell ref="C3:D3"/>
    <mergeCell ref="E3:F3"/>
    <mergeCell ref="C4:D4"/>
    <mergeCell ref="E4:F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Cover</vt:lpstr>
      <vt:lpstr>Test case List</vt:lpstr>
      <vt:lpstr>TestDesign</vt:lpstr>
      <vt:lpstr>Product</vt:lpstr>
      <vt:lpstr>Contract</vt:lpstr>
      <vt:lpstr>Commercial Proposals</vt:lpstr>
      <vt:lpstr>ProjectandTask</vt:lpstr>
      <vt:lpstr>ContactAddress</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 Do</dc:creator>
  <cp:lastModifiedBy>Đỗ Minh Phước</cp:lastModifiedBy>
  <dcterms:created xsi:type="dcterms:W3CDTF">2026-10-21T04:00:14Z</dcterms:created>
  <dcterms:modified xsi:type="dcterms:W3CDTF">2026-10-23T14:46:25Z</dcterms:modified>
</cp:coreProperties>
</file>