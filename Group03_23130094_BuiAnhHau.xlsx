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Test case List" sheetId="2" state="visible" r:id="rId4"/>
    <sheet name="TestDesign" sheetId="3" state="visible" r:id="rId5"/>
    <sheet name="Contracts" sheetId="4" state="visible" r:id="rId6"/>
    <sheet name="Test Report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<sst xmlns="http://schemas.openxmlformats.org/spreadsheetml/2006/main" count="406" uniqueCount="261">
  <si>
    <t xml:space="preserve">TEST CASE</t>
  </si>
  <si>
    <t xml:space="preserve">Project Name</t>
  </si>
  <si>
    <t xml:space="preserve">DOLIBARR</t>
  </si>
  <si>
    <t xml:space="preserve">Creator</t>
  </si>
  <si>
    <t xml:space="preserve">Bui Anh Hau</t>
  </si>
  <si>
    <t xml:space="preserve">Project Code</t>
  </si>
  <si>
    <t xml:space="preserve">Reviewer/Approver</t>
  </si>
  <si>
    <t xml:space="preserve">Document Code</t>
  </si>
  <si>
    <t xml:space="preserve">DOLIBARR_TestCase</t>
  </si>
  <si>
    <t xml:space="preserve">Issue Date</t>
  </si>
  <si>
    <t xml:space="preserve">Version</t>
  </si>
  <si>
    <t xml:space="preserve">Record of change</t>
  </si>
  <si>
    <t xml:space="preserve">Effective Date</t>
  </si>
  <si>
    <t xml:space="preserve">Change Item</t>
  </si>
  <si>
    <t xml:space="preserve">*A,D,M</t>
  </si>
  <si>
    <t xml:space="preserve">Change description</t>
  </si>
  <si>
    <t xml:space="preserve">Reference</t>
  </si>
  <si>
    <t xml:space="preserve">20/10/2026</t>
  </si>
  <si>
    <t xml:space="preserve">0.1</t>
  </si>
  <si>
    <t xml:space="preserve">Contracts</t>
  </si>
  <si>
    <t xml:space="preserve">A</t>
  </si>
  <si>
    <t xml:space="preserve">Created 26 Contract test cases</t>
  </si>
  <si>
    <t xml:space="preserve">Assignment 6</t>
  </si>
  <si>
    <t xml:space="preserve">*A: Added  D: Deleted  M: Modified</t>
  </si>
  <si>
    <t xml:space="preserve">TEST CASE LIST</t>
  </si>
  <si>
    <t xml:space="preserve">Test Environment Setup Description</t>
  </si>
  <si>
    <t xml:space="preserve">Dolibarr ERP &amp; CRM demo 24.0.2 (https://demo.dolibarr.org); Google Chrome; all modules enabled (manual module selection).</t>
  </si>
  <si>
    <t xml:space="preserve">No</t>
  </si>
  <si>
    <t xml:space="preserve">Function Name</t>
  </si>
  <si>
    <t xml:space="preserve">Sheet Name</t>
  </si>
  <si>
    <t xml:space="preserve">Description</t>
  </si>
  <si>
    <t xml:space="preserve">Pre-Condition</t>
  </si>
  <si>
    <t xml:space="preserve">Create, list/search/sort, view, edit and delete (draft) contracts.</t>
  </si>
  <si>
    <t xml:space="preserve">Sign in; at least 1 Third party exists; the contract list has sample data.</t>
  </si>
  <si>
    <t xml:space="preserve">Requirement Level 1</t>
  </si>
  <si>
    <t xml:space="preserve">Requirement Level 2</t>
  </si>
  <si>
    <t xml:space="preserve">Requirement Level 3</t>
  </si>
  <si>
    <t xml:space="preserve">Test Criteria</t>
  </si>
  <si>
    <t xml:space="preserve">Test Type</t>
  </si>
  <si>
    <t xml:space="preserve">Note</t>
  </si>
  <si>
    <t xml:space="preserve">1. Contracts</t>
  </si>
  <si>
    <t xml:space="preserve">1.1 Create</t>
  </si>
  <si>
    <t xml:space="preserve">Screen / Displaying</t>
  </si>
  <si>
    <t xml:space="preserve">Check displaying New contract screen by clicking [New contract or subscription]</t>
  </si>
  <si>
    <t xml:space="preserve">Function</t>
  </si>
  <si>
    <t xml:space="preserve">CONTRACT_Create_01</t>
  </si>
  <si>
    <t xml:space="preserve">Screen / Layout and defaults</t>
  </si>
  <si>
    <t xml:space="preserve">Check layout and default values of New contract screen</t>
  </si>
  <si>
    <t xml:space="preserve">GUI</t>
  </si>
  <si>
    <t xml:space="preserve">CONTRACT_Create_02</t>
  </si>
  <si>
    <t xml:space="preserve">Successful create / Minimum data</t>
  </si>
  <si>
    <t xml:space="preserve">Check create a draft contract with only the required field (Third party)</t>
  </si>
  <si>
    <t xml:space="preserve">CONTRACT_Create_03</t>
  </si>
  <si>
    <t xml:space="preserve">Successful create / Note (internal)</t>
  </si>
  <si>
    <t xml:space="preserve">Check create a contract with Note (internal) filled</t>
  </si>
  <si>
    <t xml:space="preserve">CONTRACT_Create_04</t>
  </si>
  <si>
    <t xml:space="preserve">Required field / Third party</t>
  </si>
  <si>
    <t xml:space="preserve">Check reject creation when Third party is empty</t>
  </si>
  <si>
    <t xml:space="preserve">CONTRACT_Create_05</t>
  </si>
  <si>
    <t xml:space="preserve">Result in list</t>
  </si>
  <si>
    <t xml:space="preserve">Check new contract is displayed in the Contracts list after creating</t>
  </si>
  <si>
    <t xml:space="preserve">CONTRACT_Create_06</t>
  </si>
  <si>
    <t xml:space="preserve">Cancel creation</t>
  </si>
  <si>
    <t xml:space="preserve">Check cancel a New contract form without saving</t>
  </si>
  <si>
    <t xml:space="preserve">CONTRACT_Create_07</t>
  </si>
  <si>
    <t xml:space="preserve">Create continuously</t>
  </si>
  <si>
    <t xml:space="preserve">Check create two contracts continuously</t>
  </si>
  <si>
    <t xml:space="preserve">CONTRACT_Create_08</t>
  </si>
  <si>
    <t xml:space="preserve">Field value / Date</t>
  </si>
  <si>
    <t xml:space="preserve">Check create a contract with a past Date</t>
  </si>
  <si>
    <t xml:space="preserve">CONTRACT_Create_09; EP</t>
  </si>
  <si>
    <t xml:space="preserve">Field value / Note (internal)</t>
  </si>
  <si>
    <t xml:space="preserve">Check Note (internal) with special characters</t>
  </si>
  <si>
    <t xml:space="preserve">CONTRACT_Create_10; EP</t>
  </si>
  <si>
    <t xml:space="preserve">Check Note (internal) with a very long value (1000 characters)</t>
  </si>
  <si>
    <t xml:space="preserve">CONTRACT_Create_11; BVA</t>
  </si>
  <si>
    <t xml:space="preserve">1.2 Read</t>
  </si>
  <si>
    <t xml:space="preserve">List display</t>
  </si>
  <si>
    <t xml:space="preserve">Check open Contracts list via menu and verify the page title and table</t>
  </si>
  <si>
    <t xml:space="preserve">CONTRACT_List_01</t>
  </si>
  <si>
    <t xml:space="preserve">List layout</t>
  </si>
  <si>
    <t xml:space="preserve">Check layout of Contracts list screen</t>
  </si>
  <si>
    <t xml:space="preserve">CONTRACT_List_02</t>
  </si>
  <si>
    <t xml:space="preserve">Search by Ref.</t>
  </si>
  <si>
    <t xml:space="preserve">Check find a contract using an existing Ref.</t>
  </si>
  <si>
    <t xml:space="preserve">CONTRACT_Search_01</t>
  </si>
  <si>
    <t xml:space="preserve">Search / No match</t>
  </si>
  <si>
    <t xml:space="preserve">Check return no record for a non-existent Ref.</t>
  </si>
  <si>
    <t xml:space="preserve">CONTRACT_Search_02</t>
  </si>
  <si>
    <t xml:space="preserve">Search by Third party</t>
  </si>
  <si>
    <t xml:space="preserve">Check filter contracts by Third party</t>
  </si>
  <si>
    <t xml:space="preserve">CONTRACT_Search_03</t>
  </si>
  <si>
    <t xml:space="preserve">Filter by Status</t>
  </si>
  <si>
    <t xml:space="preserve">Check filter contracts by Status = Draft</t>
  </si>
  <si>
    <t xml:space="preserve">CONTRACT_Search_04</t>
  </si>
  <si>
    <t xml:space="preserve">Clear filter</t>
  </si>
  <si>
    <t xml:space="preserve">Check clear the applied filter</t>
  </si>
  <si>
    <t xml:space="preserve">CONTRACT_Search_05</t>
  </si>
  <si>
    <t xml:space="preserve">Sorting</t>
  </si>
  <si>
    <t xml:space="preserve">Check change sort by Ref. (ascending, descending)</t>
  </si>
  <si>
    <t xml:space="preserve">CONTRACT_Search_06</t>
  </si>
  <si>
    <t xml:space="preserve">Check change sort by Contract date (ascending, descending)</t>
  </si>
  <si>
    <t xml:space="preserve">CONTRACT_Search_07</t>
  </si>
  <si>
    <t xml:space="preserve">Details</t>
  </si>
  <si>
    <t xml:space="preserve">Check view Contract detail screen from the list</t>
  </si>
  <si>
    <t xml:space="preserve">CONTRACT_View_01</t>
  </si>
  <si>
    <t xml:space="preserve">Navigation</t>
  </si>
  <si>
    <t xml:space="preserve">Check go back to the list from Contract detail screen</t>
  </si>
  <si>
    <t xml:space="preserve">CONTRACT_View_02</t>
  </si>
  <si>
    <t xml:space="preserve">1.3 Update</t>
  </si>
  <si>
    <t xml:space="preserve">Update Ref. customer</t>
  </si>
  <si>
    <t xml:space="preserve">Check modify Ref. customer of a draft contract</t>
  </si>
  <si>
    <t xml:space="preserve">CONTRACT_Edit_01</t>
  </si>
  <si>
    <t xml:space="preserve">Cancel edit</t>
  </si>
  <si>
    <t xml:space="preserve">Check cancel modify Ref. customer</t>
  </si>
  <si>
    <t xml:space="preserve">CONTRACT_Edit_02</t>
  </si>
  <si>
    <t xml:space="preserve">1.4 Delete</t>
  </si>
  <si>
    <t xml:space="preserve">Delete successful</t>
  </si>
  <si>
    <t xml:space="preserve">Check delete a draft contract and confirm</t>
  </si>
  <si>
    <t xml:space="preserve">CONTRACT_Delete_01</t>
  </si>
  <si>
    <t xml:space="preserve">Cancel deletion</t>
  </si>
  <si>
    <t xml:space="preserve">Check cancel delete contract and the contract is preserved</t>
  </si>
  <si>
    <t xml:space="preserve">CONTRACT_Delete_02</t>
  </si>
  <si>
    <t xml:space="preserve">2. Purchase Orders</t>
  </si>
  <si>
    <t xml:space="preserve">2.1 Create</t>
  </si>
  <si>
    <t xml:space="preserve">Check displaying New purchase order screen and its fields</t>
  </si>
  <si>
    <t xml:space="preserve">Planned - detailed test cases in a later week</t>
  </si>
  <si>
    <t xml:space="preserve">Required field / Vendor</t>
  </si>
  <si>
    <t xml:space="preserve">Check reject creation when Vendor is empty</t>
  </si>
  <si>
    <t xml:space="preserve">Check create a draft purchase order with only mandatory fields</t>
  </si>
  <si>
    <t xml:space="preserve">Check cancel create purchase order</t>
  </si>
  <si>
    <t xml:space="preserve">2.2 Read</t>
  </si>
  <si>
    <t xml:space="preserve">Check open Purchase Orders list via menu</t>
  </si>
  <si>
    <t xml:space="preserve">Check find a purchase order by Ref.</t>
  </si>
  <si>
    <t xml:space="preserve">2.3 Update</t>
  </si>
  <si>
    <t xml:space="preserve">Order lines</t>
  </si>
  <si>
    <t xml:space="preserve">Check add a free text line (quantity 2, unit price 100) - total excl. tax = 200</t>
  </si>
  <si>
    <t xml:space="preserve">Calculation check</t>
  </si>
  <si>
    <t xml:space="preserve">Check delete an order line - total back to 0</t>
  </si>
  <si>
    <t xml:space="preserve">2.4 Delete</t>
  </si>
  <si>
    <t xml:space="preserve">Check delete a draft purchase order</t>
  </si>
  <si>
    <t xml:space="preserve">3. Supplier Invoices</t>
  </si>
  <si>
    <t xml:space="preserve">3.1 Create</t>
  </si>
  <si>
    <t xml:space="preserve">Check displaying New supplier invoice screen and its fields</t>
  </si>
  <si>
    <t xml:space="preserve">Required field / Ref. supplier</t>
  </si>
  <si>
    <t xml:space="preserve">Check reject creation when Ref. supplier is empty</t>
  </si>
  <si>
    <t xml:space="preserve">Check create a draft supplier invoice with only mandatory fields</t>
  </si>
  <si>
    <t xml:space="preserve">Check cancel create supplier invoice</t>
  </si>
  <si>
    <t xml:space="preserve">3.2 Read</t>
  </si>
  <si>
    <t xml:space="preserve">Check open Supplier invoices list via menu</t>
  </si>
  <si>
    <t xml:space="preserve">Check find a supplier invoice by Ref. supplier</t>
  </si>
  <si>
    <t xml:space="preserve">Check filter by Status = Draft</t>
  </si>
  <si>
    <t xml:space="preserve">3.3 Update</t>
  </si>
  <si>
    <t xml:space="preserve">Invoice lines</t>
  </si>
  <si>
    <t xml:space="preserve">Check add a free text line (quantity 3, unit price 50) - total excl. tax = 150</t>
  </si>
  <si>
    <t xml:space="preserve">3.4 Delete</t>
  </si>
  <si>
    <t xml:space="preserve">Check delete a draft supplier invoice</t>
  </si>
  <si>
    <t xml:space="preserve">Module Code</t>
  </si>
  <si>
    <t xml:space="preserve">CONTRACT</t>
  </si>
  <si>
    <t xml:space="preserve">Passed</t>
  </si>
  <si>
    <t xml:space="preserve">Test requirement</t>
  </si>
  <si>
    <t xml:space="preserve">Failed</t>
  </si>
  <si>
    <t xml:space="preserve">Tester</t>
  </si>
  <si>
    <t xml:space="preserve">Blocked</t>
  </si>
  <si>
    <t xml:space="preserve">Untested</t>
  </si>
  <si>
    <t xml:space="preserve">Skipped</t>
  </si>
  <si>
    <t xml:space="preserve">Number of Test cases</t>
  </si>
  <si>
    <t xml:space="preserve">ID</t>
  </si>
  <si>
    <t xml:space="preserve">Test Case Description</t>
  </si>
  <si>
    <t xml:space="preserve">Test Case Procedure</t>
  </si>
  <si>
    <t xml:space="preserve">Expected Output</t>
  </si>
  <si>
    <t xml:space="preserve">Inter-test case Dependence</t>
  </si>
  <si>
    <t xml:space="preserve">Result</t>
  </si>
  <si>
    <t xml:space="preserve">Test date</t>
  </si>
  <si>
    <t xml:space="preserve">Check displaying New contract screen by clicking [New contract or subscription] on the left menu</t>
  </si>
  <si>
    <t xml:space="preserve">PRE: Signed in the Dolibarr demo with the Contracts module enabled; at least 1 Third party exists.
1. On the left menu, click [New contract or subscription]</t>
  </si>
  <si>
    <t xml:space="preserve">1. New contract screen is displayed (page title = "New contract")</t>
  </si>
  <si>
    <t xml:space="preserve">PRE: Signed in the Dolibarr demo with the Contracts module enabled; at least 1 Third party exists.
1. Open New contract screen (CONTRACT_Create_01)
2. Check the displayed fields, default values and buttons</t>
  </si>
  <si>
    <t xml:space="preserve">2. Screen displays:
    - Third party (required, bold label, empty - "Select a third party")
    - Sales representative following-up contract (default = David Doe)
    - Sales representative signing contract (default = David Doe)
    - Date (default = current date)
    - Project (empty), Note (public), Note (internal)
    - Buttons [CREATE DRAFT] and [CANCEL]</t>
  </si>
  <si>
    <t xml:space="preserve">Check creating a draft contract with only the required field (Third party)</t>
  </si>
  <si>
    <t xml:space="preserve">PRE: Signed in the Dolibarr demo with the Contracts module enabled; at least 1 Third party exists. Third party = Testldr1.
1. On New contract screen, select Third party = Testldr1
2. Keep the other fields as default
3. Click [CREATE DRAFT] button</t>
  </si>
  <si>
    <t xml:space="preserve">3. Contract is created, Contract detail screen is displayed
    - Status = Draft
    - Ref is a provisional ref (e.g. "(PROV...)")
    - Third party = Testldr1</t>
  </si>
  <si>
    <t xml:space="preserve">Check creating a contract with Note (internal) filled</t>
  </si>
  <si>
    <t xml:space="preserve">PRE: Signed in the Dolibarr demo with the Contracts module enabled; at least 1 Third party exists. Third party = Testldr1; Note (internal) = Internal note 01.
1. On New contract screen, select Third party = Testldr1
2. Input Note (internal) = Internal note 01
3. Click [CREATE DRAFT] button
4. On Contract detail screen, open tab [Notes]</t>
  </si>
  <si>
    <t xml:space="preserve">3. Contract is created, Contract detail screen is displayed
4. Tab [Notes] shows the internal note = "Internal note 01"</t>
  </si>
  <si>
    <t xml:space="preserve">Check required field - Third party</t>
  </si>
  <si>
    <t xml:space="preserve">PRE: Signed in the Dolibarr demo with the Contracts module enabled; at least 1 Third party exists.
1. On New contract screen, do not select Third party
2. Click [CREATE DRAFT] button</t>
  </si>
  <si>
    <t xml:space="preserve">2. New contract screen is still displayed
    - Error message "Field 'Third party' is required" is displayed
    - No contract is created</t>
  </si>
  <si>
    <t xml:space="preserve">PRE: Signed in the Dolibarr demo with the Contracts module enabled; at least 1 Third party exists. Third party = Testldr1.
1. Create a draft contract (steps of CONTRACT_Create_03)
2. Write down the Ref of the new contract on Contract detail screen
3. Open Contracts list screen
4. Input the Ref into the Ref. filter box and press Enter</t>
  </si>
  <si>
    <t xml:space="preserve">2. The Ref (provisional) is displayed on the detail screen
4. The new contract is displayed in the list</t>
  </si>
  <si>
    <t xml:space="preserve">Check cancelling create contract</t>
  </si>
  <si>
    <t xml:space="preserve">PRE: Signed in the Dolibarr demo with the Contracts module enabled; at least 1 Third party exists. Third party = Testldr1.
1. Open Contracts list screen and write down n in the title "Contracts (n)"
2. Click [New contract or subscription] on the left menu
3. Select Third party = Testldr1
4. Click [CANCEL] button
5. Open Contracts list screen again</t>
  </si>
  <si>
    <t xml:space="preserve">4. New contract screen is closed (back to the previous screen)
5. Page title is still "Contracts (n)" - no contract was created</t>
  </si>
  <si>
    <t xml:space="preserve">Check creating two contracts continuously</t>
  </si>
  <si>
    <t xml:space="preserve">PRE: Signed in the Dolibarr demo with the Contracts module enabled; at least 1 Third party exists. Third party = Testldr1 (both contracts).
1. Open Contracts list screen and write down n in the title "Contracts (n)"
2. Create the 1st draft contract (steps of CONTRACT_Create_03)
3. Click [New contract or subscription] again and create the 2nd draft contract
4. Open Contracts list screen</t>
  </si>
  <si>
    <t xml:space="preserve">3. New contract screen is displayed again with empty Third party (no data kept from the previous contract)
4. Page title = "Contracts (n+2)"</t>
  </si>
  <si>
    <t xml:space="preserve">CONTRACT_Create_09</t>
  </si>
  <si>
    <t xml:space="preserve">Check creating a contract with a past Date</t>
  </si>
  <si>
    <t xml:space="preserve">PRE: Signed in the Dolibarr demo with the Contracts module enabled; at least 1 Third party exists. Third party = Testldr1; Date = 01/01/2026.
1. On New contract screen, select Third party = Testldr1
2. Clear the Date field and input 01/01/2026
3. Click [CREATE DRAFT] button</t>
  </si>
  <si>
    <t xml:space="preserve">3. Contract is created successfully
    - Contract date = 01/01/2026 is displayed on Contract detail screen</t>
  </si>
  <si>
    <t xml:space="preserve">CONTRACT_Create_10</t>
  </si>
  <si>
    <t xml:space="preserve">PRE: Signed in the Dolibarr demo with the Contracts module enabled; at least 1 Third party exists. Third party = Testldr1; Note (internal) = Note @#$%&amp;*().
1. On New contract screen, select Third party = Testldr1
2. Input Note (internal) = Note @#$%&amp;*()
3. Click [CREATE DRAFT] button
4. On Contract detail screen, open tab [Notes]</t>
  </si>
  <si>
    <t xml:space="preserve">3. Contract is created successfully, no error message
4. Tab [Notes] shows the internal note exactly as input: Note @#$%&amp;*()</t>
  </si>
  <si>
    <t xml:space="preserve">CONTRACT_Create_11</t>
  </si>
  <si>
    <t xml:space="preserve">PRE: Signed in the Dolibarr demo with the Contracts module enabled; at least 1 Third party exists. Third party = Testldr1; Note (internal) = 1000 characters "A".
1. On New contract screen, select Third party = Testldr1
2. Input Note (internal) = 1000 characters "A"
3. Click [CREATE DRAFT] button</t>
  </si>
  <si>
    <t xml:space="preserve">3. System does not show any technical/system error page
    - Contract is created and Contract detail screen is displayed</t>
  </si>
  <si>
    <t xml:space="preserve">Check displaying Contracts list screen by selecting [Commercial] &gt; [Contracts/Subscriptions] &gt; [List] from the menu</t>
  </si>
  <si>
    <t xml:space="preserve">PRE: Signed in the Dolibarr demo with the Contracts module enabled; at least 1 Third party exists.
1. On Dolibarr home page, click menu [Commercial] on the top menu bar
2. Click [List] under [Contracts/Subscriptions] on the left menu</t>
  </si>
  <si>
    <t xml:space="preserve">1. Commerce area is displayed, left menu has [Contracts/Subscriptions]
2. Contracts list screen is displayed
    - Page title = "Contracts (n)" (n = number of contracts)
    - Table of contracts is displayed</t>
  </si>
  <si>
    <t xml:space="preserve">PRE: Signed in the Dolibarr demo with the Contracts module enabled; at least 1 Third party exists.
1. Open Contracts list screen (CONTRACT_List_01)
2. Check the columns, the filter row and the icons</t>
  </si>
  <si>
    <t xml:space="preserve">2. Screen displays:
    - Columns: Ref., Ref. customer, Ref. vendor, Third party, Zip Code, Phone, Mobile, Contract date
    - Filter row with a search icon (magnifier) and a clear icon (X)
    - Rows of contracts below</t>
  </si>
  <si>
    <t xml:space="preserve">Check searching contracts by an existing Ref</t>
  </si>
  <si>
    <t xml:space="preserve">PRE: Signed in the Dolibarr demo with the Contracts module enabled; at least 1 Third party exists. Contract CT2610-0007 exists (demo sample data).
1. On Contracts list screen, input Ref = CT2610-0007 into the Ref. filter box
2. Press Enter</t>
  </si>
  <si>
    <t xml:space="preserve">2. Only the contract CT2610-0007 is displayed in the list
    - Page title = "Contracts (1)"</t>
  </si>
  <si>
    <t xml:space="preserve">Check searching contracts by a non-existent Ref</t>
  </si>
  <si>
    <t xml:space="preserve">PRE: Signed in the Dolibarr demo with the Contracts module enabled; at least 1 Third party exists.
1. On Contracts list screen, input Ref = NOT_EXIST_999 into the Ref. filter box
2. Press Enter</t>
  </si>
  <si>
    <t xml:space="preserve">2. No contract is displayed
    - Page title = "Contracts (0)"
    - Message "No record found" is displayed</t>
  </si>
  <si>
    <t xml:space="preserve">Check searching contracts by Third party</t>
  </si>
  <si>
    <t xml:space="preserve">PRE: Signed in the Dolibarr demo with the Contracts module enabled; at least 1 Third party exists. A contract of Third party "Generic customer" exists (demo sample data).
1. On Contracts list screen, input "Generic" into the Third party filter box
2. Press Enter</t>
  </si>
  <si>
    <t xml:space="preserve">2. Only contracts whose Third party contains "Generic" are displayed in the list</t>
  </si>
  <si>
    <t xml:space="preserve">Check filtering contracts by Status = Draft</t>
  </si>
  <si>
    <t xml:space="preserve">PRE: Signed in the Dolibarr demo with the Contracts module enabled; at least 1 Third party exists. At least 1 contract with Status = Draft exists.
1. On Contracts list screen, scroll right to the Status filter
2. Select Status = Draft in the Status filter
3. Press Enter (or click the search icon)</t>
  </si>
  <si>
    <t xml:space="preserve">3. All displayed contracts have Status = Draft</t>
  </si>
  <si>
    <t xml:space="preserve">Check clearing the filter</t>
  </si>
  <si>
    <t xml:space="preserve">PRE: Signed in the Dolibarr demo with the Contracts module enabled; at least 1 Third party exists. A filter is applied (e.g. CONTRACT_Search_02).
1. On Contracts list screen with a filter applied, click the clear icon (X) in the filter row</t>
  </si>
  <si>
    <t xml:space="preserve">1. Filter boxes are cleared
    - The full list of contracts is displayed again</t>
  </si>
  <si>
    <t xml:space="preserve">Check sorting contracts by Ref (ascending, descending)</t>
  </si>
  <si>
    <t xml:space="preserve">PRE: Signed in the Dolibarr demo with the Contracts module enabled; at least 1 Third party exists. At least 2 contracts exist (default sort is Ref ascending).
1. On Contracts list screen, click the column header [Ref.]
2. Click the column header [Ref.] one more time</t>
  </si>
  <si>
    <t xml:space="preserve">1. The order of contracts is reversed (Ref descending)
2. The order of contracts is back to Ref ascending</t>
  </si>
  <si>
    <t xml:space="preserve">Check sorting contracts by Contract date (ascending, descending)</t>
  </si>
  <si>
    <t xml:space="preserve">PRE: Signed in the Dolibarr demo with the Contracts module enabled; at least 1 Third party exists. At least 2 contracts with different dates exist.
1. On Contracts list screen, click the column header [Contract date]
2. Click the column header [Contract date] one more time</t>
  </si>
  <si>
    <t xml:space="preserve">1. Contracts are sorted by Contract date in one direction (ascending)
2. Contracts are sorted by Contract date in the opposite direction (descending)</t>
  </si>
  <si>
    <t xml:space="preserve">Check viewing Contract detail screen by clicking a contract in the list</t>
  </si>
  <si>
    <t xml:space="preserve">PRE: Signed in the Dolibarr demo with the Contracts module enabled; at least 1 Third party exists. Contract CT2610-0007 exists in the list (demo sample data).
1. On Contracts list screen, click the Ref "CT2610-0007"</t>
  </si>
  <si>
    <t xml:space="preserve">1. Contract detail screen of CT2610-0007 is displayed
    - Ref = CT2610-0007
    - Third party is the same as in the list</t>
  </si>
  <si>
    <t xml:space="preserve">Check going back to the list from Contract detail screen</t>
  </si>
  <si>
    <t xml:space="preserve">PRE: Signed in the Dolibarr demo with the Contracts module enabled; at least 1 Third party exists. Currently on a Contract detail screen.
1. Click [Back to list] link</t>
  </si>
  <si>
    <t xml:space="preserve">1. Contracts list screen is displayed</t>
  </si>
  <si>
    <t xml:space="preserve">Check modifying Ref. customer of a draft contract</t>
  </si>
  <si>
    <t xml:space="preserve">PRE: Signed in the Dolibarr demo with the Contracts module enabled; at least 1 Third party exists. A Draft contract exists (created in CONTRACT_Create_03); new Ref. customer = RC_EDIT_01.
1. Open Contract detail screen of the draft contract
2. Click the edit (pencil) icon next to [Ref. customer]
3. Input Ref. customer = RC_EDIT_01
4. Click the save button next to the input box</t>
  </si>
  <si>
    <t xml:space="preserve">2. Input box of Ref. customer is displayed
4. Ref. customer = RC_EDIT_01 is displayed on Contract detail screen</t>
  </si>
  <si>
    <t xml:space="preserve">Check cancelling modify Ref. customer</t>
  </si>
  <si>
    <t xml:space="preserve">PRE: Signed in the Dolibarr demo with the Contracts module enabled; at least 1 Third party exists. A Draft contract exists (created in CONTRACT_Create_03).
1. Open Contract detail screen of the draft contract
2. Click the edit (pencil) icon next to [Ref. customer]
3. Input Ref. customer = RC_NOEDIT_01
4. Click the cancel button next to the input box</t>
  </si>
  <si>
    <t xml:space="preserve">4. Input box is closed
    - Ref. customer is NOT changed (not RC_NOEDIT_01)</t>
  </si>
  <si>
    <t xml:space="preserve">Check deleting a draft contract and confirming</t>
  </si>
  <si>
    <t xml:space="preserve">PRE: Signed in the Dolibarr demo with the Contracts module enabled; at least 1 Third party exists. A Draft contract exists (created in CONTRACT_Create_03).
1. Open Contract detail screen of the draft contract
2. Click [DELETE] button
3. Confirm deleting on the confirmation message
4. Search the list by the deleted contract's Ref</t>
  </si>
  <si>
    <t xml:space="preserve">2. A confirmation message is displayed
3. Back to Contracts list screen
4. The deleted contract is not displayed in the list</t>
  </si>
  <si>
    <t xml:space="preserve">Check cancelling delete contract</t>
  </si>
  <si>
    <t xml:space="preserve">PRE: Signed in the Dolibarr demo with the Contracts module enabled; at least 1 Third party exists. A Draft contract exists (created in CONTRACT_Create_03).
1. Open Contract detail screen of the draft contract
2. Click [DELETE] button
3. Click [No] (or close) on the confirmation message</t>
  </si>
  <si>
    <t xml:space="preserve">3. Confirmation message is closed
    - Contract detail screen is still displayed and the contract still exists</t>
  </si>
  <si>
    <t xml:space="preserve">TEST REPORT</t>
  </si>
  <si>
    <t xml:space="preserve">DOLIBARR_Test Report</t>
  </si>
  <si>
    <t xml:space="preserve">Notes</t>
  </si>
  <si>
    <t xml:space="preserve">Module code</t>
  </si>
  <si>
    <t xml:space="preserve">Pass</t>
  </si>
  <si>
    <t xml:space="preserve">Fail</t>
  </si>
  <si>
    <t xml:space="preserve">Number of  test cases</t>
  </si>
  <si>
    <t xml:space="preserve">Sub total</t>
  </si>
  <si>
    <t xml:space="preserve">Test coverage</t>
  </si>
  <si>
    <t xml:space="preserve">%</t>
  </si>
  <si>
    <t xml:space="preserve">Test successful coverage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</si>
</sst>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00080"/>
      <name val="Tahoma"/>
      <family val="0"/>
      <charset val="1"/>
    </font>
    <font>
      <b val="true"/>
      <sz val="10"/>
      <color rgb="FF000000"/>
      <name val="Tahoma"/>
      <family val="0"/>
      <charset val="1"/>
    </font>
    <font>
      <sz val="10"/>
      <color rgb="FF000000"/>
      <name val="Tahoma"/>
      <family val="0"/>
      <charset val="1"/>
    </font>
    <font>
      <b val="true"/>
      <sz val="12"/>
      <color rgb="FF000080"/>
      <name val="Tahoma"/>
      <family val="0"/>
      <charset val="1"/>
    </font>
    <font>
      <b val="true"/>
      <sz val="10"/>
      <color rgb="FFFFFFFF"/>
      <name val="Tahoma"/>
      <family val="0"/>
      <charset val="1"/>
    </font>
    <font>
      <i val="true"/>
      <sz val="10"/>
      <color rgb="FF595959"/>
      <name val="Tahoma"/>
      <family val="0"/>
      <charset val="1"/>
    </font>
    <font>
      <b val="true"/>
      <sz val="16"/>
      <color rgb="FF000080"/>
      <name val="Tahoma"/>
      <family val="0"/>
      <charset val="1"/>
    </font>
    <font>
      <u val="single"/>
      <sz val="10"/>
      <color rgb="FF0563C1"/>
      <name val="Tahoma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808080"/>
      <name val="Tahom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80"/>
        <bgColor rgb="FF000080"/>
      </patternFill>
    </fill>
    <fill>
      <patternFill patternType="solid">
        <fgColor rgb="FF333399"/>
        <bgColor rgb="FF003366"/>
      </patternFill>
    </fill>
    <fill>
      <patternFill patternType="solid">
        <fgColor rgb="FF00CCFF"/>
        <bgColor rgb="FF33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Group03_23130094_BuiAnhHau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24"/>
    <col collapsed="false" customWidth="true" hidden="false" outlineLevel="0" max="7" min="7" style="0" width="40"/>
  </cols>
  <sheetData>
    <row r="2" customFormat="false" ht="24.4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  <c r="F4" s="2" t="s">
        <v>3</v>
      </c>
      <c r="G4" s="4" t="s">
        <v>4</v>
      </c>
    </row>
    <row r="5" customFormat="false" ht="15" hidden="false" customHeight="false" outlineLevel="0" collapsed="false">
      <c r="B5" s="2" t="s">
        <v>5</v>
      </c>
      <c r="C5" s="3" t="s">
        <v>2</v>
      </c>
      <c r="F5" s="2" t="s">
        <v>6</v>
      </c>
      <c r="G5" s="5"/>
    </row>
    <row r="6" customFormat="false" ht="15" hidden="false" customHeight="false" outlineLevel="0" collapsed="false">
      <c r="B6" s="2" t="s">
        <v>7</v>
      </c>
      <c r="C6" s="3" t="s">
        <v>8</v>
      </c>
      <c r="F6" s="2" t="s">
        <v>9</v>
      </c>
      <c r="G6" s="4" t="n">
        <v>46315</v>
      </c>
    </row>
    <row r="7" customFormat="false" ht="15" hidden="false" customHeight="false" outlineLevel="0" collapsed="false">
      <c r="F7" s="2" t="s">
        <v>10</v>
      </c>
      <c r="G7" s="5" t="n">
        <v>0.1</v>
      </c>
    </row>
    <row r="10" customFormat="false" ht="15" hidden="false" customHeight="false" outlineLevel="0" collapsed="false">
      <c r="B10" s="6" t="s">
        <v>11</v>
      </c>
    </row>
    <row r="11" customFormat="false" ht="15" hidden="false" customHeight="false" outlineLevel="0" collapsed="false">
      <c r="B11" s="7" t="s">
        <v>12</v>
      </c>
      <c r="C11" s="7" t="s">
        <v>10</v>
      </c>
      <c r="D11" s="7" t="s">
        <v>13</v>
      </c>
      <c r="E11" s="7" t="s">
        <v>14</v>
      </c>
      <c r="F11" s="7" t="s">
        <v>15</v>
      </c>
      <c r="G11" s="7" t="s">
        <v>16</v>
      </c>
    </row>
    <row r="12" customFormat="false" ht="23.85" hidden="false" customHeight="false" outlineLevel="0" collapsed="false">
      <c r="B12" s="8" t="s">
        <v>17</v>
      </c>
      <c r="C12" s="8" t="s">
        <v>18</v>
      </c>
      <c r="D12" s="8" t="s">
        <v>19</v>
      </c>
      <c r="E12" s="8" t="s">
        <v>20</v>
      </c>
      <c r="F12" s="9" t="s">
        <v>21</v>
      </c>
      <c r="G12" s="9" t="s">
        <v>22</v>
      </c>
    </row>
    <row r="14" customFormat="false" ht="15" hidden="false" customHeight="false" outlineLevel="0" collapsed="false">
      <c r="B14" s="10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6" min="5" style="0" width="50"/>
  </cols>
  <sheetData>
    <row r="1" customFormat="false" ht="19.7" hidden="false" customHeight="false" outlineLevel="0" collapsed="false">
      <c r="D1" s="11" t="s">
        <v>24</v>
      </c>
    </row>
    <row r="3" customFormat="false" ht="15" hidden="false" customHeight="false" outlineLevel="0" collapsed="false">
      <c r="B3" s="2" t="s">
        <v>1</v>
      </c>
      <c r="D3" s="12" t="str">
        <f aca="false">Cover!C4</f>
        <v>DOLIBARR</v>
      </c>
    </row>
    <row r="4" customFormat="false" ht="15" hidden="false" customHeight="false" outlineLevel="0" collapsed="false">
      <c r="B4" s="2" t="s">
        <v>5</v>
      </c>
      <c r="D4" s="12" t="str">
        <f aca="false">Cover!C5</f>
        <v>DOLIBARR</v>
      </c>
    </row>
    <row r="5" customFormat="false" ht="30" hidden="false" customHeight="true" outlineLevel="0" collapsed="false">
      <c r="B5" s="13" t="s">
        <v>25</v>
      </c>
      <c r="C5" s="13"/>
      <c r="D5" s="14" t="s">
        <v>26</v>
      </c>
      <c r="E5" s="14"/>
      <c r="F5" s="14"/>
    </row>
    <row r="8" customFormat="false" ht="15" hidden="false" customHeight="false" outlineLevel="0" collapsed="false">
      <c r="B8" s="15" t="s">
        <v>27</v>
      </c>
      <c r="C8" s="15" t="s">
        <v>28</v>
      </c>
      <c r="D8" s="15" t="s">
        <v>29</v>
      </c>
      <c r="E8" s="15" t="s">
        <v>30</v>
      </c>
      <c r="F8" s="15" t="s">
        <v>31</v>
      </c>
    </row>
    <row r="9" customFormat="false" ht="31.5" hidden="false" customHeight="true" outlineLevel="0" collapsed="false">
      <c r="B9" s="8" t="n">
        <v>1</v>
      </c>
      <c r="C9" s="9" t="s">
        <v>19</v>
      </c>
      <c r="D9" s="16" t="s">
        <v>19</v>
      </c>
      <c r="E9" s="9" t="s">
        <v>32</v>
      </c>
      <c r="F9" s="9" t="s">
        <v>33</v>
      </c>
    </row>
  </sheetData>
  <mergeCells count="2">
    <mergeCell ref="B5:C5"/>
    <mergeCell ref="D5:F5"/>
  </mergeCells>
  <hyperlinks>
    <hyperlink ref="D9" r:id="rId1" location="'Contracts'!A1" display="Contract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2"/>
    <col collapsed="false" customWidth="true" hidden="false" outlineLevel="0" max="6" min="6" style="0" width="34"/>
  </cols>
  <sheetData>
    <row r="1" customFormat="false" ht="15" hidden="false" customHeight="false" outlineLevel="0" collapsed="false">
      <c r="A1" s="17" t="s">
        <v>34</v>
      </c>
      <c r="B1" s="17" t="s">
        <v>35</v>
      </c>
      <c r="C1" s="17" t="s">
        <v>36</v>
      </c>
      <c r="D1" s="17" t="s">
        <v>37</v>
      </c>
      <c r="E1" s="17" t="s">
        <v>38</v>
      </c>
      <c r="F1" s="17" t="s">
        <v>39</v>
      </c>
    </row>
    <row r="2" customFormat="false" ht="27" hidden="false" customHeight="true" outlineLevel="0" collapsed="false">
      <c r="A2" s="18" t="s">
        <v>40</v>
      </c>
      <c r="B2" s="19" t="s">
        <v>41</v>
      </c>
      <c r="C2" s="19" t="s">
        <v>42</v>
      </c>
      <c r="D2" s="19" t="s">
        <v>43</v>
      </c>
      <c r="E2" s="20" t="s">
        <v>44</v>
      </c>
      <c r="F2" s="19" t="s">
        <v>45</v>
      </c>
    </row>
    <row r="3" customFormat="false" ht="15" hidden="false" customHeight="true" outlineLevel="0" collapsed="false">
      <c r="A3" s="19"/>
      <c r="B3" s="19"/>
      <c r="C3" s="19" t="s">
        <v>46</v>
      </c>
      <c r="D3" s="19" t="s">
        <v>47</v>
      </c>
      <c r="E3" s="20" t="s">
        <v>48</v>
      </c>
      <c r="F3" s="19" t="s">
        <v>49</v>
      </c>
    </row>
    <row r="4" customFormat="false" ht="27" hidden="false" customHeight="true" outlineLevel="0" collapsed="false">
      <c r="A4" s="19"/>
      <c r="B4" s="19"/>
      <c r="C4" s="19" t="s">
        <v>50</v>
      </c>
      <c r="D4" s="19" t="s">
        <v>51</v>
      </c>
      <c r="E4" s="20" t="s">
        <v>44</v>
      </c>
      <c r="F4" s="19" t="s">
        <v>52</v>
      </c>
    </row>
    <row r="5" customFormat="false" ht="27" hidden="false" customHeight="true" outlineLevel="0" collapsed="false">
      <c r="A5" s="19"/>
      <c r="B5" s="19"/>
      <c r="C5" s="19" t="s">
        <v>53</v>
      </c>
      <c r="D5" s="19" t="s">
        <v>54</v>
      </c>
      <c r="E5" s="20" t="s">
        <v>44</v>
      </c>
      <c r="F5" s="19" t="s">
        <v>55</v>
      </c>
    </row>
    <row r="6" customFormat="false" ht="15" hidden="false" customHeight="true" outlineLevel="0" collapsed="false">
      <c r="A6" s="19"/>
      <c r="B6" s="19"/>
      <c r="C6" s="19" t="s">
        <v>56</v>
      </c>
      <c r="D6" s="19" t="s">
        <v>57</v>
      </c>
      <c r="E6" s="20" t="s">
        <v>44</v>
      </c>
      <c r="F6" s="19" t="s">
        <v>58</v>
      </c>
    </row>
    <row r="7" customFormat="false" ht="27" hidden="false" customHeight="true" outlineLevel="0" collapsed="false">
      <c r="A7" s="19"/>
      <c r="B7" s="19"/>
      <c r="C7" s="19" t="s">
        <v>59</v>
      </c>
      <c r="D7" s="19" t="s">
        <v>60</v>
      </c>
      <c r="E7" s="20" t="s">
        <v>44</v>
      </c>
      <c r="F7" s="19" t="s">
        <v>61</v>
      </c>
    </row>
    <row r="8" customFormat="false" ht="15" hidden="false" customHeight="true" outlineLevel="0" collapsed="false">
      <c r="A8" s="19"/>
      <c r="B8" s="19"/>
      <c r="C8" s="19" t="s">
        <v>62</v>
      </c>
      <c r="D8" s="19" t="s">
        <v>63</v>
      </c>
      <c r="E8" s="20" t="s">
        <v>44</v>
      </c>
      <c r="F8" s="19" t="s">
        <v>64</v>
      </c>
    </row>
    <row r="9" customFormat="false" ht="15" hidden="false" customHeight="true" outlineLevel="0" collapsed="false">
      <c r="A9" s="19"/>
      <c r="B9" s="19"/>
      <c r="C9" s="19" t="s">
        <v>65</v>
      </c>
      <c r="D9" s="19" t="s">
        <v>66</v>
      </c>
      <c r="E9" s="20" t="s">
        <v>44</v>
      </c>
      <c r="F9" s="19" t="s">
        <v>67</v>
      </c>
    </row>
    <row r="10" customFormat="false" ht="15" hidden="false" customHeight="true" outlineLevel="0" collapsed="false">
      <c r="A10" s="19"/>
      <c r="B10" s="19"/>
      <c r="C10" s="19" t="s">
        <v>68</v>
      </c>
      <c r="D10" s="19" t="s">
        <v>69</v>
      </c>
      <c r="E10" s="20" t="s">
        <v>44</v>
      </c>
      <c r="F10" s="19" t="s">
        <v>70</v>
      </c>
    </row>
    <row r="11" customFormat="false" ht="15" hidden="false" customHeight="true" outlineLevel="0" collapsed="false">
      <c r="A11" s="19"/>
      <c r="B11" s="19"/>
      <c r="C11" s="19" t="s">
        <v>71</v>
      </c>
      <c r="D11" s="19" t="s">
        <v>72</v>
      </c>
      <c r="E11" s="20" t="s">
        <v>44</v>
      </c>
      <c r="F11" s="19" t="s">
        <v>73</v>
      </c>
    </row>
    <row r="12" customFormat="false" ht="15" hidden="false" customHeight="true" outlineLevel="0" collapsed="false">
      <c r="A12" s="19"/>
      <c r="B12" s="19"/>
      <c r="C12" s="19" t="s">
        <v>71</v>
      </c>
      <c r="D12" s="19" t="s">
        <v>74</v>
      </c>
      <c r="E12" s="20" t="s">
        <v>44</v>
      </c>
      <c r="F12" s="19" t="s">
        <v>75</v>
      </c>
    </row>
    <row r="13" customFormat="false" ht="27" hidden="false" customHeight="true" outlineLevel="0" collapsed="false">
      <c r="A13" s="19"/>
      <c r="B13" s="19" t="s">
        <v>76</v>
      </c>
      <c r="C13" s="19" t="s">
        <v>77</v>
      </c>
      <c r="D13" s="19" t="s">
        <v>78</v>
      </c>
      <c r="E13" s="20" t="s">
        <v>44</v>
      </c>
      <c r="F13" s="19" t="s">
        <v>79</v>
      </c>
    </row>
    <row r="14" customFormat="false" ht="15" hidden="false" customHeight="true" outlineLevel="0" collapsed="false">
      <c r="A14" s="19"/>
      <c r="B14" s="19"/>
      <c r="C14" s="19" t="s">
        <v>80</v>
      </c>
      <c r="D14" s="19" t="s">
        <v>81</v>
      </c>
      <c r="E14" s="20" t="s">
        <v>48</v>
      </c>
      <c r="F14" s="19" t="s">
        <v>82</v>
      </c>
    </row>
    <row r="15" customFormat="false" ht="15" hidden="false" customHeight="true" outlineLevel="0" collapsed="false">
      <c r="A15" s="19"/>
      <c r="B15" s="19"/>
      <c r="C15" s="19" t="s">
        <v>83</v>
      </c>
      <c r="D15" s="19" t="s">
        <v>84</v>
      </c>
      <c r="E15" s="20" t="s">
        <v>44</v>
      </c>
      <c r="F15" s="19" t="s">
        <v>85</v>
      </c>
    </row>
    <row r="16" customFormat="false" ht="15" hidden="false" customHeight="true" outlineLevel="0" collapsed="false">
      <c r="A16" s="19"/>
      <c r="B16" s="19"/>
      <c r="C16" s="19" t="s">
        <v>86</v>
      </c>
      <c r="D16" s="19" t="s">
        <v>87</v>
      </c>
      <c r="E16" s="20" t="s">
        <v>44</v>
      </c>
      <c r="F16" s="19" t="s">
        <v>88</v>
      </c>
    </row>
    <row r="17" customFormat="false" ht="15" hidden="false" customHeight="true" outlineLevel="0" collapsed="false">
      <c r="A17" s="19"/>
      <c r="B17" s="19"/>
      <c r="C17" s="19" t="s">
        <v>89</v>
      </c>
      <c r="D17" s="19" t="s">
        <v>90</v>
      </c>
      <c r="E17" s="20" t="s">
        <v>44</v>
      </c>
      <c r="F17" s="19" t="s">
        <v>91</v>
      </c>
    </row>
    <row r="18" customFormat="false" ht="15" hidden="false" customHeight="true" outlineLevel="0" collapsed="false">
      <c r="A18" s="19"/>
      <c r="B18" s="19"/>
      <c r="C18" s="19" t="s">
        <v>92</v>
      </c>
      <c r="D18" s="19" t="s">
        <v>93</v>
      </c>
      <c r="E18" s="20" t="s">
        <v>44</v>
      </c>
      <c r="F18" s="19" t="s">
        <v>94</v>
      </c>
    </row>
    <row r="19" customFormat="false" ht="15" hidden="false" customHeight="true" outlineLevel="0" collapsed="false">
      <c r="A19" s="19"/>
      <c r="B19" s="19"/>
      <c r="C19" s="19" t="s">
        <v>95</v>
      </c>
      <c r="D19" s="19" t="s">
        <v>96</v>
      </c>
      <c r="E19" s="20" t="s">
        <v>44</v>
      </c>
      <c r="F19" s="19" t="s">
        <v>97</v>
      </c>
    </row>
    <row r="20" customFormat="false" ht="15" hidden="false" customHeight="true" outlineLevel="0" collapsed="false">
      <c r="A20" s="19"/>
      <c r="B20" s="19"/>
      <c r="C20" s="19" t="s">
        <v>98</v>
      </c>
      <c r="D20" s="19" t="s">
        <v>99</v>
      </c>
      <c r="E20" s="20" t="s">
        <v>44</v>
      </c>
      <c r="F20" s="19" t="s">
        <v>100</v>
      </c>
    </row>
    <row r="21" customFormat="false" ht="15" hidden="false" customHeight="true" outlineLevel="0" collapsed="false">
      <c r="A21" s="19"/>
      <c r="B21" s="19"/>
      <c r="C21" s="19" t="s">
        <v>98</v>
      </c>
      <c r="D21" s="19" t="s">
        <v>101</v>
      </c>
      <c r="E21" s="20" t="s">
        <v>44</v>
      </c>
      <c r="F21" s="19" t="s">
        <v>102</v>
      </c>
    </row>
    <row r="22" customFormat="false" ht="15" hidden="false" customHeight="true" outlineLevel="0" collapsed="false">
      <c r="A22" s="19"/>
      <c r="B22" s="19"/>
      <c r="C22" s="19" t="s">
        <v>103</v>
      </c>
      <c r="D22" s="19" t="s">
        <v>104</v>
      </c>
      <c r="E22" s="20" t="s">
        <v>44</v>
      </c>
      <c r="F22" s="19" t="s">
        <v>105</v>
      </c>
    </row>
    <row r="23" customFormat="false" ht="15" hidden="false" customHeight="true" outlineLevel="0" collapsed="false">
      <c r="A23" s="19"/>
      <c r="B23" s="19"/>
      <c r="C23" s="19" t="s">
        <v>106</v>
      </c>
      <c r="D23" s="19" t="s">
        <v>107</v>
      </c>
      <c r="E23" s="20" t="s">
        <v>44</v>
      </c>
      <c r="F23" s="19" t="s">
        <v>108</v>
      </c>
    </row>
    <row r="24" customFormat="false" ht="15" hidden="false" customHeight="true" outlineLevel="0" collapsed="false">
      <c r="A24" s="19"/>
      <c r="B24" s="19" t="s">
        <v>109</v>
      </c>
      <c r="C24" s="19" t="s">
        <v>110</v>
      </c>
      <c r="D24" s="19" t="s">
        <v>111</v>
      </c>
      <c r="E24" s="20" t="s">
        <v>44</v>
      </c>
      <c r="F24" s="19" t="s">
        <v>112</v>
      </c>
    </row>
    <row r="25" customFormat="false" ht="15" hidden="false" customHeight="true" outlineLevel="0" collapsed="false">
      <c r="A25" s="19"/>
      <c r="B25" s="19"/>
      <c r="C25" s="19" t="s">
        <v>113</v>
      </c>
      <c r="D25" s="19" t="s">
        <v>114</v>
      </c>
      <c r="E25" s="20" t="s">
        <v>44</v>
      </c>
      <c r="F25" s="19" t="s">
        <v>115</v>
      </c>
    </row>
    <row r="26" customFormat="false" ht="15" hidden="false" customHeight="true" outlineLevel="0" collapsed="false">
      <c r="A26" s="19"/>
      <c r="B26" s="19" t="s">
        <v>116</v>
      </c>
      <c r="C26" s="19" t="s">
        <v>117</v>
      </c>
      <c r="D26" s="19" t="s">
        <v>118</v>
      </c>
      <c r="E26" s="20" t="s">
        <v>44</v>
      </c>
      <c r="F26" s="19" t="s">
        <v>119</v>
      </c>
    </row>
    <row r="27" customFormat="false" ht="15" hidden="false" customHeight="true" outlineLevel="0" collapsed="false">
      <c r="A27" s="19"/>
      <c r="B27" s="19"/>
      <c r="C27" s="19" t="s">
        <v>120</v>
      </c>
      <c r="D27" s="19" t="s">
        <v>121</v>
      </c>
      <c r="E27" s="20" t="s">
        <v>44</v>
      </c>
      <c r="F27" s="19" t="s">
        <v>122</v>
      </c>
    </row>
    <row r="28" customFormat="false" ht="27" hidden="false" customHeight="true" outlineLevel="0" collapsed="false">
      <c r="A28" s="18" t="s">
        <v>123</v>
      </c>
      <c r="B28" s="19" t="s">
        <v>124</v>
      </c>
      <c r="C28" s="19" t="s">
        <v>42</v>
      </c>
      <c r="D28" s="19" t="s">
        <v>125</v>
      </c>
      <c r="E28" s="20" t="s">
        <v>48</v>
      </c>
      <c r="F28" s="19" t="s">
        <v>126</v>
      </c>
    </row>
    <row r="29" customFormat="false" ht="15" hidden="false" customHeight="true" outlineLevel="0" collapsed="false">
      <c r="A29" s="19"/>
      <c r="B29" s="19"/>
      <c r="C29" s="19" t="s">
        <v>127</v>
      </c>
      <c r="D29" s="19" t="s">
        <v>128</v>
      </c>
      <c r="E29" s="20" t="s">
        <v>44</v>
      </c>
      <c r="F29" s="19"/>
    </row>
    <row r="30" customFormat="false" ht="27" hidden="false" customHeight="true" outlineLevel="0" collapsed="false">
      <c r="A30" s="19"/>
      <c r="B30" s="19"/>
      <c r="C30" s="19" t="s">
        <v>50</v>
      </c>
      <c r="D30" s="19" t="s">
        <v>129</v>
      </c>
      <c r="E30" s="20" t="s">
        <v>44</v>
      </c>
      <c r="F30" s="19"/>
    </row>
    <row r="31" customFormat="false" ht="15" hidden="false" customHeight="true" outlineLevel="0" collapsed="false">
      <c r="A31" s="19"/>
      <c r="B31" s="19"/>
      <c r="C31" s="19" t="s">
        <v>62</v>
      </c>
      <c r="D31" s="19" t="s">
        <v>130</v>
      </c>
      <c r="E31" s="20" t="s">
        <v>44</v>
      </c>
      <c r="F31" s="19"/>
    </row>
    <row r="32" customFormat="false" ht="15" hidden="false" customHeight="true" outlineLevel="0" collapsed="false">
      <c r="A32" s="19"/>
      <c r="B32" s="19" t="s">
        <v>131</v>
      </c>
      <c r="C32" s="19" t="s">
        <v>77</v>
      </c>
      <c r="D32" s="19" t="s">
        <v>132</v>
      </c>
      <c r="E32" s="20" t="s">
        <v>44</v>
      </c>
      <c r="F32" s="19"/>
    </row>
    <row r="33" customFormat="false" ht="15" hidden="false" customHeight="true" outlineLevel="0" collapsed="false">
      <c r="A33" s="19"/>
      <c r="B33" s="19"/>
      <c r="C33" s="19" t="s">
        <v>83</v>
      </c>
      <c r="D33" s="19" t="s">
        <v>133</v>
      </c>
      <c r="E33" s="20" t="s">
        <v>44</v>
      </c>
      <c r="F33" s="19"/>
    </row>
    <row r="34" customFormat="false" ht="15" hidden="false" customHeight="true" outlineLevel="0" collapsed="false">
      <c r="A34" s="19"/>
      <c r="B34" s="19"/>
      <c r="C34" s="19" t="s">
        <v>98</v>
      </c>
      <c r="D34" s="19" t="s">
        <v>99</v>
      </c>
      <c r="E34" s="20" t="s">
        <v>44</v>
      </c>
      <c r="F34" s="19"/>
    </row>
    <row r="35" customFormat="false" ht="27" hidden="false" customHeight="true" outlineLevel="0" collapsed="false">
      <c r="A35" s="19"/>
      <c r="B35" s="19" t="s">
        <v>134</v>
      </c>
      <c r="C35" s="19" t="s">
        <v>135</v>
      </c>
      <c r="D35" s="19" t="s">
        <v>136</v>
      </c>
      <c r="E35" s="20" t="s">
        <v>44</v>
      </c>
      <c r="F35" s="19" t="s">
        <v>137</v>
      </c>
    </row>
    <row r="36" customFormat="false" ht="15" hidden="false" customHeight="true" outlineLevel="0" collapsed="false">
      <c r="A36" s="19"/>
      <c r="B36" s="19"/>
      <c r="C36" s="19" t="s">
        <v>135</v>
      </c>
      <c r="D36" s="19" t="s">
        <v>138</v>
      </c>
      <c r="E36" s="20" t="s">
        <v>44</v>
      </c>
      <c r="F36" s="19"/>
    </row>
    <row r="37" customFormat="false" ht="15" hidden="false" customHeight="true" outlineLevel="0" collapsed="false">
      <c r="A37" s="19"/>
      <c r="B37" s="19" t="s">
        <v>139</v>
      </c>
      <c r="C37" s="19" t="s">
        <v>117</v>
      </c>
      <c r="D37" s="19" t="s">
        <v>140</v>
      </c>
      <c r="E37" s="20" t="s">
        <v>44</v>
      </c>
      <c r="F37" s="19"/>
    </row>
    <row r="38" customFormat="false" ht="27" hidden="false" customHeight="true" outlineLevel="0" collapsed="false">
      <c r="A38" s="18" t="s">
        <v>141</v>
      </c>
      <c r="B38" s="19" t="s">
        <v>142</v>
      </c>
      <c r="C38" s="19" t="s">
        <v>42</v>
      </c>
      <c r="D38" s="19" t="s">
        <v>143</v>
      </c>
      <c r="E38" s="20" t="s">
        <v>48</v>
      </c>
      <c r="F38" s="19" t="s">
        <v>126</v>
      </c>
    </row>
    <row r="39" customFormat="false" ht="15" hidden="false" customHeight="true" outlineLevel="0" collapsed="false">
      <c r="A39" s="19"/>
      <c r="B39" s="19"/>
      <c r="C39" s="19" t="s">
        <v>127</v>
      </c>
      <c r="D39" s="19" t="s">
        <v>128</v>
      </c>
      <c r="E39" s="20" t="s">
        <v>44</v>
      </c>
      <c r="F39" s="19"/>
    </row>
    <row r="40" customFormat="false" ht="15" hidden="false" customHeight="true" outlineLevel="0" collapsed="false">
      <c r="A40" s="19"/>
      <c r="B40" s="19"/>
      <c r="C40" s="19" t="s">
        <v>144</v>
      </c>
      <c r="D40" s="19" t="s">
        <v>145</v>
      </c>
      <c r="E40" s="20" t="s">
        <v>44</v>
      </c>
      <c r="F40" s="19"/>
    </row>
    <row r="41" customFormat="false" ht="27" hidden="false" customHeight="true" outlineLevel="0" collapsed="false">
      <c r="A41" s="19"/>
      <c r="B41" s="19"/>
      <c r="C41" s="19" t="s">
        <v>50</v>
      </c>
      <c r="D41" s="19" t="s">
        <v>146</v>
      </c>
      <c r="E41" s="20" t="s">
        <v>44</v>
      </c>
      <c r="F41" s="19"/>
    </row>
    <row r="42" customFormat="false" ht="15" hidden="false" customHeight="true" outlineLevel="0" collapsed="false">
      <c r="A42" s="19"/>
      <c r="B42" s="19"/>
      <c r="C42" s="19" t="s">
        <v>62</v>
      </c>
      <c r="D42" s="19" t="s">
        <v>147</v>
      </c>
      <c r="E42" s="20" t="s">
        <v>44</v>
      </c>
      <c r="F42" s="19"/>
    </row>
    <row r="43" customFormat="false" ht="15" hidden="false" customHeight="true" outlineLevel="0" collapsed="false">
      <c r="A43" s="19"/>
      <c r="B43" s="19" t="s">
        <v>148</v>
      </c>
      <c r="C43" s="19" t="s">
        <v>77</v>
      </c>
      <c r="D43" s="19" t="s">
        <v>149</v>
      </c>
      <c r="E43" s="20" t="s">
        <v>44</v>
      </c>
      <c r="F43" s="19"/>
    </row>
    <row r="44" customFormat="false" ht="15" hidden="false" customHeight="true" outlineLevel="0" collapsed="false">
      <c r="A44" s="19"/>
      <c r="B44" s="19"/>
      <c r="C44" s="19" t="s">
        <v>83</v>
      </c>
      <c r="D44" s="19" t="s">
        <v>150</v>
      </c>
      <c r="E44" s="20" t="s">
        <v>44</v>
      </c>
      <c r="F44" s="19"/>
    </row>
    <row r="45" customFormat="false" ht="15" hidden="false" customHeight="true" outlineLevel="0" collapsed="false">
      <c r="A45" s="19"/>
      <c r="B45" s="19"/>
      <c r="C45" s="19" t="s">
        <v>92</v>
      </c>
      <c r="D45" s="19" t="s">
        <v>151</v>
      </c>
      <c r="E45" s="20" t="s">
        <v>44</v>
      </c>
      <c r="F45" s="19"/>
    </row>
    <row r="46" customFormat="false" ht="27" hidden="false" customHeight="true" outlineLevel="0" collapsed="false">
      <c r="A46" s="19"/>
      <c r="B46" s="19" t="s">
        <v>152</v>
      </c>
      <c r="C46" s="19" t="s">
        <v>153</v>
      </c>
      <c r="D46" s="19" t="s">
        <v>154</v>
      </c>
      <c r="E46" s="20" t="s">
        <v>44</v>
      </c>
      <c r="F46" s="19" t="s">
        <v>137</v>
      </c>
    </row>
    <row r="47" customFormat="false" ht="15" hidden="false" customHeight="true" outlineLevel="0" collapsed="false">
      <c r="A47" s="19"/>
      <c r="B47" s="19" t="s">
        <v>155</v>
      </c>
      <c r="C47" s="19" t="s">
        <v>117</v>
      </c>
      <c r="D47" s="19" t="s">
        <v>156</v>
      </c>
      <c r="E47" s="20" t="s">
        <v>44</v>
      </c>
      <c r="F47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32"/>
    <col collapsed="false" customWidth="true" hidden="false" outlineLevel="0" max="3" min="3" style="0" width="58"/>
    <col collapsed="false" customWidth="true" hidden="false" outlineLevel="0" max="4" min="4" style="0" width="46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36"/>
    <col collapsed="false" customWidth="true" hidden="false" outlineLevel="0" max="10" min="10" style="0" width="10"/>
  </cols>
  <sheetData>
    <row r="2" customFormat="false" ht="15" hidden="false" customHeight="false" outlineLevel="0" collapsed="false">
      <c r="A2" s="2" t="s">
        <v>157</v>
      </c>
      <c r="B2" s="3" t="s">
        <v>158</v>
      </c>
      <c r="J2" s="21" t="s">
        <v>159</v>
      </c>
    </row>
    <row r="3" customFormat="false" ht="15" hidden="false" customHeight="false" outlineLevel="0" collapsed="false">
      <c r="A3" s="2" t="s">
        <v>160</v>
      </c>
      <c r="B3" s="3" t="s">
        <v>19</v>
      </c>
      <c r="J3" s="21" t="s">
        <v>161</v>
      </c>
    </row>
    <row r="4" customFormat="false" ht="15" hidden="false" customHeight="false" outlineLevel="0" collapsed="false">
      <c r="A4" s="2" t="s">
        <v>162</v>
      </c>
      <c r="B4" s="3" t="s">
        <v>4</v>
      </c>
      <c r="J4" s="21" t="s">
        <v>163</v>
      </c>
    </row>
    <row r="5" customFormat="false" ht="23.85" hidden="false" customHeight="false" outlineLevel="0" collapsed="false">
      <c r="A5" s="7" t="s">
        <v>159</v>
      </c>
      <c r="B5" s="7" t="s">
        <v>161</v>
      </c>
      <c r="C5" s="7" t="s">
        <v>164</v>
      </c>
      <c r="D5" s="7" t="s">
        <v>163</v>
      </c>
      <c r="E5" s="7" t="s">
        <v>165</v>
      </c>
      <c r="F5" s="7" t="s">
        <v>166</v>
      </c>
      <c r="J5" s="21" t="s">
        <v>164</v>
      </c>
    </row>
    <row r="6" customFormat="false" ht="15" hidden="false" customHeight="false" outlineLevel="0" collapsed="false">
      <c r="A6" s="22" t="n">
        <f aca="false">COUNTIF(F9:F996,"Passed")</f>
        <v>0</v>
      </c>
      <c r="B6" s="22" t="n">
        <f aca="false">COUNTIF(F9:F996,"Failed")</f>
        <v>0</v>
      </c>
      <c r="C6" s="22" t="n">
        <f aca="false">F6-E6-D6-B6-A6</f>
        <v>26</v>
      </c>
      <c r="D6" s="22" t="n">
        <f aca="false">COUNTIF(F9:F996,"Blocked")</f>
        <v>0</v>
      </c>
      <c r="E6" s="22" t="n">
        <f aca="false">COUNTIF(F9:F996,"Skipped")</f>
        <v>0</v>
      </c>
      <c r="F6" s="22" t="n">
        <f aca="false">COUNTA(A9:A996)</f>
        <v>26</v>
      </c>
      <c r="J6" s="21" t="s">
        <v>165</v>
      </c>
    </row>
    <row r="8" customFormat="false" ht="23.85" hidden="false" customHeight="false" outlineLevel="0" collapsed="false">
      <c r="A8" s="7" t="s">
        <v>167</v>
      </c>
      <c r="B8" s="7" t="s">
        <v>168</v>
      </c>
      <c r="C8" s="7" t="s">
        <v>169</v>
      </c>
      <c r="D8" s="7" t="s">
        <v>170</v>
      </c>
      <c r="E8" s="7" t="s">
        <v>171</v>
      </c>
      <c r="F8" s="7" t="s">
        <v>172</v>
      </c>
      <c r="G8" s="7" t="s">
        <v>173</v>
      </c>
      <c r="H8" s="7" t="s">
        <v>39</v>
      </c>
    </row>
    <row r="9" customFormat="false" ht="54" hidden="false" customHeight="true" outlineLevel="0" collapsed="false">
      <c r="A9" s="9" t="s">
        <v>45</v>
      </c>
      <c r="B9" s="9" t="s">
        <v>174</v>
      </c>
      <c r="C9" s="9" t="s">
        <v>175</v>
      </c>
      <c r="D9" s="9" t="s">
        <v>176</v>
      </c>
      <c r="E9" s="8" t="s">
        <v>79</v>
      </c>
      <c r="F9" s="8"/>
      <c r="G9" s="23"/>
      <c r="H9" s="9"/>
    </row>
    <row r="10" customFormat="false" ht="162" hidden="false" customHeight="true" outlineLevel="0" collapsed="false">
      <c r="A10" s="9" t="s">
        <v>49</v>
      </c>
      <c r="B10" s="9" t="s">
        <v>47</v>
      </c>
      <c r="C10" s="9" t="s">
        <v>177</v>
      </c>
      <c r="D10" s="9" t="s">
        <v>178</v>
      </c>
      <c r="E10" s="8" t="s">
        <v>45</v>
      </c>
      <c r="F10" s="8"/>
      <c r="G10" s="23"/>
      <c r="H10" s="9"/>
    </row>
    <row r="11" customFormat="false" ht="94.5" hidden="false" customHeight="true" outlineLevel="0" collapsed="false">
      <c r="A11" s="9" t="s">
        <v>52</v>
      </c>
      <c r="B11" s="9" t="s">
        <v>179</v>
      </c>
      <c r="C11" s="9" t="s">
        <v>180</v>
      </c>
      <c r="D11" s="9" t="s">
        <v>181</v>
      </c>
      <c r="E11" s="8" t="s">
        <v>45</v>
      </c>
      <c r="F11" s="8"/>
      <c r="G11" s="23"/>
      <c r="H11" s="9"/>
    </row>
    <row r="12" customFormat="false" ht="121.5" hidden="false" customHeight="true" outlineLevel="0" collapsed="false">
      <c r="A12" s="9" t="s">
        <v>55</v>
      </c>
      <c r="B12" s="9" t="s">
        <v>182</v>
      </c>
      <c r="C12" s="9" t="s">
        <v>183</v>
      </c>
      <c r="D12" s="9" t="s">
        <v>184</v>
      </c>
      <c r="E12" s="8" t="s">
        <v>45</v>
      </c>
      <c r="F12" s="8"/>
      <c r="G12" s="23"/>
      <c r="H12" s="9"/>
    </row>
    <row r="13" customFormat="false" ht="67.5" hidden="false" customHeight="true" outlineLevel="0" collapsed="false">
      <c r="A13" s="9" t="s">
        <v>58</v>
      </c>
      <c r="B13" s="9" t="s">
        <v>185</v>
      </c>
      <c r="C13" s="9" t="s">
        <v>186</v>
      </c>
      <c r="D13" s="9" t="s">
        <v>187</v>
      </c>
      <c r="E13" s="8" t="s">
        <v>45</v>
      </c>
      <c r="F13" s="8"/>
      <c r="G13" s="23"/>
      <c r="H13" s="9"/>
    </row>
    <row r="14" customFormat="false" ht="135" hidden="false" customHeight="true" outlineLevel="0" collapsed="false">
      <c r="A14" s="9" t="s">
        <v>61</v>
      </c>
      <c r="B14" s="9" t="s">
        <v>60</v>
      </c>
      <c r="C14" s="9" t="s">
        <v>188</v>
      </c>
      <c r="D14" s="9" t="s">
        <v>189</v>
      </c>
      <c r="E14" s="8" t="s">
        <v>52</v>
      </c>
      <c r="F14" s="8"/>
      <c r="G14" s="23"/>
      <c r="H14" s="9"/>
    </row>
    <row r="15" customFormat="false" ht="135" hidden="false" customHeight="true" outlineLevel="0" collapsed="false">
      <c r="A15" s="9" t="s">
        <v>64</v>
      </c>
      <c r="B15" s="9" t="s">
        <v>190</v>
      </c>
      <c r="C15" s="9" t="s">
        <v>191</v>
      </c>
      <c r="D15" s="9" t="s">
        <v>192</v>
      </c>
      <c r="E15" s="8" t="s">
        <v>79</v>
      </c>
      <c r="F15" s="8"/>
      <c r="G15" s="23"/>
      <c r="H15" s="9"/>
    </row>
    <row r="16" customFormat="false" ht="135" hidden="false" customHeight="true" outlineLevel="0" collapsed="false">
      <c r="A16" s="9" t="s">
        <v>67</v>
      </c>
      <c r="B16" s="9" t="s">
        <v>193</v>
      </c>
      <c r="C16" s="9" t="s">
        <v>194</v>
      </c>
      <c r="D16" s="9" t="s">
        <v>195</v>
      </c>
      <c r="E16" s="8" t="s">
        <v>52</v>
      </c>
      <c r="F16" s="8"/>
      <c r="G16" s="23"/>
      <c r="H16" s="9"/>
    </row>
    <row r="17" customFormat="false" ht="94.5" hidden="false" customHeight="true" outlineLevel="0" collapsed="false">
      <c r="A17" s="9" t="s">
        <v>196</v>
      </c>
      <c r="B17" s="9" t="s">
        <v>197</v>
      </c>
      <c r="C17" s="9" t="s">
        <v>198</v>
      </c>
      <c r="D17" s="9" t="s">
        <v>199</v>
      </c>
      <c r="E17" s="8" t="s">
        <v>45</v>
      </c>
      <c r="F17" s="8"/>
      <c r="G17" s="23"/>
      <c r="H17" s="9"/>
    </row>
    <row r="18" customFormat="false" ht="108" hidden="false" customHeight="true" outlineLevel="0" collapsed="false">
      <c r="A18" s="9" t="s">
        <v>200</v>
      </c>
      <c r="B18" s="9" t="s">
        <v>72</v>
      </c>
      <c r="C18" s="9" t="s">
        <v>201</v>
      </c>
      <c r="D18" s="9" t="s">
        <v>202</v>
      </c>
      <c r="E18" s="8" t="s">
        <v>45</v>
      </c>
      <c r="F18" s="8"/>
      <c r="G18" s="23"/>
      <c r="H18" s="9"/>
    </row>
    <row r="19" customFormat="false" ht="108" hidden="false" customHeight="true" outlineLevel="0" collapsed="false">
      <c r="A19" s="9" t="s">
        <v>203</v>
      </c>
      <c r="B19" s="9" t="s">
        <v>74</v>
      </c>
      <c r="C19" s="9" t="s">
        <v>204</v>
      </c>
      <c r="D19" s="9" t="s">
        <v>205</v>
      </c>
      <c r="E19" s="8" t="s">
        <v>45</v>
      </c>
      <c r="F19" s="8"/>
      <c r="G19" s="23"/>
      <c r="H19" s="9"/>
    </row>
    <row r="20" customFormat="false" ht="81" hidden="false" customHeight="true" outlineLevel="0" collapsed="false">
      <c r="A20" s="9" t="s">
        <v>79</v>
      </c>
      <c r="B20" s="9" t="s">
        <v>206</v>
      </c>
      <c r="C20" s="9" t="s">
        <v>207</v>
      </c>
      <c r="D20" s="9" t="s">
        <v>208</v>
      </c>
      <c r="E20" s="8"/>
      <c r="F20" s="8"/>
      <c r="G20" s="23"/>
      <c r="H20" s="9"/>
    </row>
    <row r="21" customFormat="false" ht="94.5" hidden="false" customHeight="true" outlineLevel="0" collapsed="false">
      <c r="A21" s="9" t="s">
        <v>82</v>
      </c>
      <c r="B21" s="9" t="s">
        <v>81</v>
      </c>
      <c r="C21" s="9" t="s">
        <v>209</v>
      </c>
      <c r="D21" s="9" t="s">
        <v>210</v>
      </c>
      <c r="E21" s="8" t="s">
        <v>79</v>
      </c>
      <c r="F21" s="8"/>
      <c r="G21" s="23"/>
      <c r="H21" s="9"/>
    </row>
    <row r="22" customFormat="false" ht="81" hidden="false" customHeight="true" outlineLevel="0" collapsed="false">
      <c r="A22" s="9" t="s">
        <v>85</v>
      </c>
      <c r="B22" s="9" t="s">
        <v>211</v>
      </c>
      <c r="C22" s="9" t="s">
        <v>212</v>
      </c>
      <c r="D22" s="9" t="s">
        <v>213</v>
      </c>
      <c r="E22" s="8" t="s">
        <v>79</v>
      </c>
      <c r="F22" s="8"/>
      <c r="G22" s="23"/>
      <c r="H22" s="9"/>
    </row>
    <row r="23" customFormat="false" ht="67.5" hidden="false" customHeight="true" outlineLevel="0" collapsed="false">
      <c r="A23" s="9" t="s">
        <v>88</v>
      </c>
      <c r="B23" s="9" t="s">
        <v>214</v>
      </c>
      <c r="C23" s="9" t="s">
        <v>215</v>
      </c>
      <c r="D23" s="9" t="s">
        <v>216</v>
      </c>
      <c r="E23" s="8" t="s">
        <v>79</v>
      </c>
      <c r="F23" s="8"/>
      <c r="G23" s="23"/>
      <c r="H23" s="9"/>
    </row>
    <row r="24" customFormat="false" ht="94.5" hidden="false" customHeight="true" outlineLevel="0" collapsed="false">
      <c r="A24" s="9" t="s">
        <v>91</v>
      </c>
      <c r="B24" s="9" t="s">
        <v>217</v>
      </c>
      <c r="C24" s="9" t="s">
        <v>218</v>
      </c>
      <c r="D24" s="9" t="s">
        <v>219</v>
      </c>
      <c r="E24" s="8" t="s">
        <v>79</v>
      </c>
      <c r="F24" s="8"/>
      <c r="G24" s="23"/>
      <c r="H24" s="9"/>
    </row>
    <row r="25" customFormat="false" ht="94.5" hidden="false" customHeight="true" outlineLevel="0" collapsed="false">
      <c r="A25" s="9" t="s">
        <v>94</v>
      </c>
      <c r="B25" s="9" t="s">
        <v>220</v>
      </c>
      <c r="C25" s="9" t="s">
        <v>221</v>
      </c>
      <c r="D25" s="9" t="s">
        <v>222</v>
      </c>
      <c r="E25" s="8" t="s">
        <v>79</v>
      </c>
      <c r="F25" s="8"/>
      <c r="G25" s="23"/>
      <c r="H25" s="9"/>
    </row>
    <row r="26" customFormat="false" ht="67.5" hidden="false" customHeight="true" outlineLevel="0" collapsed="false">
      <c r="A26" s="9" t="s">
        <v>97</v>
      </c>
      <c r="B26" s="9" t="s">
        <v>223</v>
      </c>
      <c r="C26" s="9" t="s">
        <v>224</v>
      </c>
      <c r="D26" s="9" t="s">
        <v>225</v>
      </c>
      <c r="E26" s="8" t="s">
        <v>88</v>
      </c>
      <c r="F26" s="8"/>
      <c r="G26" s="23"/>
      <c r="H26" s="9"/>
    </row>
    <row r="27" customFormat="false" ht="94.5" hidden="false" customHeight="true" outlineLevel="0" collapsed="false">
      <c r="A27" s="9" t="s">
        <v>100</v>
      </c>
      <c r="B27" s="9" t="s">
        <v>226</v>
      </c>
      <c r="C27" s="9" t="s">
        <v>227</v>
      </c>
      <c r="D27" s="9" t="s">
        <v>228</v>
      </c>
      <c r="E27" s="8" t="s">
        <v>79</v>
      </c>
      <c r="F27" s="8"/>
      <c r="G27" s="23"/>
      <c r="H27" s="9"/>
    </row>
    <row r="28" customFormat="false" ht="94.5" hidden="false" customHeight="true" outlineLevel="0" collapsed="false">
      <c r="A28" s="9" t="s">
        <v>102</v>
      </c>
      <c r="B28" s="9" t="s">
        <v>229</v>
      </c>
      <c r="C28" s="9" t="s">
        <v>230</v>
      </c>
      <c r="D28" s="9" t="s">
        <v>231</v>
      </c>
      <c r="E28" s="8" t="s">
        <v>79</v>
      </c>
      <c r="F28" s="8"/>
      <c r="G28" s="23"/>
      <c r="H28" s="9"/>
    </row>
    <row r="29" customFormat="false" ht="81" hidden="false" customHeight="true" outlineLevel="0" collapsed="false">
      <c r="A29" s="9" t="s">
        <v>105</v>
      </c>
      <c r="B29" s="9" t="s">
        <v>232</v>
      </c>
      <c r="C29" s="9" t="s">
        <v>233</v>
      </c>
      <c r="D29" s="9" t="s">
        <v>234</v>
      </c>
      <c r="E29" s="8" t="s">
        <v>79</v>
      </c>
      <c r="F29" s="8"/>
      <c r="G29" s="23"/>
      <c r="H29" s="9"/>
    </row>
    <row r="30" customFormat="false" ht="54" hidden="false" customHeight="true" outlineLevel="0" collapsed="false">
      <c r="A30" s="9" t="s">
        <v>108</v>
      </c>
      <c r="B30" s="9" t="s">
        <v>235</v>
      </c>
      <c r="C30" s="9" t="s">
        <v>236</v>
      </c>
      <c r="D30" s="9" t="s">
        <v>237</v>
      </c>
      <c r="E30" s="8" t="s">
        <v>105</v>
      </c>
      <c r="F30" s="8"/>
      <c r="G30" s="23"/>
      <c r="H30" s="9"/>
    </row>
    <row r="31" customFormat="false" ht="135" hidden="false" customHeight="true" outlineLevel="0" collapsed="false">
      <c r="A31" s="9" t="s">
        <v>112</v>
      </c>
      <c r="B31" s="9" t="s">
        <v>238</v>
      </c>
      <c r="C31" s="9" t="s">
        <v>239</v>
      </c>
      <c r="D31" s="9" t="s">
        <v>240</v>
      </c>
      <c r="E31" s="8" t="s">
        <v>52</v>
      </c>
      <c r="F31" s="8"/>
      <c r="G31" s="23"/>
      <c r="H31" s="9"/>
    </row>
    <row r="32" customFormat="false" ht="121.5" hidden="false" customHeight="true" outlineLevel="0" collapsed="false">
      <c r="A32" s="9" t="s">
        <v>115</v>
      </c>
      <c r="B32" s="9" t="s">
        <v>241</v>
      </c>
      <c r="C32" s="9" t="s">
        <v>242</v>
      </c>
      <c r="D32" s="9" t="s">
        <v>243</v>
      </c>
      <c r="E32" s="8" t="s">
        <v>52</v>
      </c>
      <c r="F32" s="8"/>
      <c r="G32" s="23"/>
      <c r="H32" s="9"/>
    </row>
    <row r="33" customFormat="false" ht="108" hidden="false" customHeight="true" outlineLevel="0" collapsed="false">
      <c r="A33" s="9" t="s">
        <v>119</v>
      </c>
      <c r="B33" s="9" t="s">
        <v>244</v>
      </c>
      <c r="C33" s="9" t="s">
        <v>245</v>
      </c>
      <c r="D33" s="9" t="s">
        <v>246</v>
      </c>
      <c r="E33" s="8" t="s">
        <v>52</v>
      </c>
      <c r="F33" s="8"/>
      <c r="G33" s="23"/>
      <c r="H33" s="9"/>
    </row>
    <row r="34" customFormat="false" ht="108" hidden="false" customHeight="true" outlineLevel="0" collapsed="false">
      <c r="A34" s="9" t="s">
        <v>122</v>
      </c>
      <c r="B34" s="9" t="s">
        <v>247</v>
      </c>
      <c r="C34" s="9" t="s">
        <v>248</v>
      </c>
      <c r="D34" s="9" t="s">
        <v>249</v>
      </c>
      <c r="E34" s="8" t="s">
        <v>52</v>
      </c>
      <c r="F34" s="8"/>
      <c r="G34" s="23"/>
      <c r="H34" s="9"/>
    </row>
  </sheetData>
  <conditionalFormatting sqref="F9:F996">
    <cfRule type="cellIs" priority="2" operator="equal" aboveAverage="0" equalAverage="0" bottom="0" percent="0" rank="0" text="" dxfId="0">
      <formula>"Passed"</formula>
    </cfRule>
    <cfRule type="cellIs" priority="3" operator="equal" aboveAverage="0" equalAverage="0" bottom="0" percent="0" rank="0" text="" dxfId="1">
      <formula>"Failed"</formula>
    </cfRule>
    <cfRule type="cellIs" priority="4" operator="equal" aboveAverage="0" equalAverage="0" bottom="0" percent="0" rank="0" text="" dxfId="2">
      <formula>"Blocked"</formula>
    </cfRule>
  </conditionalFormatting>
  <dataValidations count="1">
    <dataValidation allowBlank="true" errorStyle="stop" operator="between" showDropDown="false" showErrorMessage="false" showInputMessage="false" sqref="F9:F996" type="list">
      <formula1>$J$2:$J$6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22"/>
    <col collapsed="false" customWidth="true" hidden="false" outlineLevel="0" max="8" min="4" style="0" width="10"/>
    <col collapsed="false" customWidth="true" hidden="false" outlineLevel="0" max="9" min="9" style="0" width="18"/>
  </cols>
  <sheetData>
    <row r="1" customFormat="false" ht="19.7" hidden="false" customHeight="false" outlineLevel="0" collapsed="false">
      <c r="B1" s="11" t="s">
        <v>250</v>
      </c>
    </row>
    <row r="3" customFormat="false" ht="15" hidden="false" customHeight="false" outlineLevel="0" collapsed="false">
      <c r="B3" s="2" t="s">
        <v>1</v>
      </c>
      <c r="C3" s="3" t="str">
        <f aca="false">Cover!C4</f>
        <v>DOLIBARR</v>
      </c>
      <c r="E3" s="2" t="s">
        <v>3</v>
      </c>
      <c r="G3" s="3" t="s">
        <v>4</v>
      </c>
    </row>
    <row r="4" customFormat="false" ht="15" hidden="false" customHeight="false" outlineLevel="0" collapsed="false">
      <c r="B4" s="2" t="s">
        <v>5</v>
      </c>
      <c r="C4" s="3" t="str">
        <f aca="false">Cover!C5</f>
        <v>DOLIBARR</v>
      </c>
      <c r="E4" s="2" t="s">
        <v>6</v>
      </c>
    </row>
    <row r="5" customFormat="false" ht="15" hidden="false" customHeight="false" outlineLevel="0" collapsed="false">
      <c r="B5" s="2" t="s">
        <v>7</v>
      </c>
      <c r="C5" s="3" t="s">
        <v>251</v>
      </c>
      <c r="E5" s="2" t="s">
        <v>9</v>
      </c>
      <c r="G5" s="4" t="n">
        <v>46315</v>
      </c>
    </row>
    <row r="6" customFormat="false" ht="15" hidden="false" customHeight="false" outlineLevel="0" collapsed="false">
      <c r="B6" s="2" t="s">
        <v>252</v>
      </c>
    </row>
    <row r="10" customFormat="false" ht="23.85" hidden="false" customHeight="false" outlineLevel="0" collapsed="false">
      <c r="B10" s="7" t="s">
        <v>27</v>
      </c>
      <c r="C10" s="7" t="s">
        <v>253</v>
      </c>
      <c r="D10" s="7" t="s">
        <v>254</v>
      </c>
      <c r="E10" s="7" t="s">
        <v>255</v>
      </c>
      <c r="F10" s="7" t="s">
        <v>164</v>
      </c>
      <c r="G10" s="7" t="s">
        <v>163</v>
      </c>
      <c r="H10" s="7" t="s">
        <v>165</v>
      </c>
      <c r="I10" s="7" t="s">
        <v>256</v>
      </c>
    </row>
    <row r="11" customFormat="false" ht="15" hidden="false" customHeight="false" outlineLevel="0" collapsed="false">
      <c r="B11" s="8" t="n">
        <v>1</v>
      </c>
      <c r="C11" s="9" t="str">
        <f aca="false">Contracts!B2</f>
        <v>CONTRACT</v>
      </c>
      <c r="D11" s="8" t="n">
        <f aca="false">Contracts!A6</f>
        <v>0</v>
      </c>
      <c r="E11" s="8" t="n">
        <f aca="false">Contracts!B6</f>
        <v>0</v>
      </c>
      <c r="F11" s="8" t="n">
        <f aca="false">Contracts!C6</f>
        <v>26</v>
      </c>
      <c r="G11" s="8" t="n">
        <f aca="false">Contracts!D6</f>
        <v>0</v>
      </c>
      <c r="H11" s="8" t="n">
        <f aca="false">Contracts!E6</f>
        <v>0</v>
      </c>
      <c r="I11" s="8" t="n">
        <f aca="false">Contracts!F6</f>
        <v>26</v>
      </c>
    </row>
    <row r="15" customFormat="false" ht="15" hidden="false" customHeight="false" outlineLevel="0" collapsed="false">
      <c r="C15" s="7" t="s">
        <v>257</v>
      </c>
      <c r="D15" s="7" t="n">
        <f aca="false">SUM(D11:D14)</f>
        <v>0</v>
      </c>
      <c r="E15" s="7" t="n">
        <f aca="false">SUM(E11:E14)</f>
        <v>0</v>
      </c>
      <c r="F15" s="7" t="n">
        <f aca="false">SUM(F11:F14)</f>
        <v>26</v>
      </c>
      <c r="G15" s="7" t="n">
        <f aca="false">SUM(G11:G14)</f>
        <v>0</v>
      </c>
      <c r="H15" s="7" t="n">
        <f aca="false">SUM(H11:H14)</f>
        <v>0</v>
      </c>
      <c r="I15" s="7" t="n">
        <f aca="false">SUM(I11:I14)</f>
        <v>26</v>
      </c>
    </row>
    <row r="17" customFormat="false" ht="15" hidden="false" customHeight="false" outlineLevel="0" collapsed="false">
      <c r="C17" s="2" t="s">
        <v>258</v>
      </c>
      <c r="E17" s="24" t="n">
        <f aca="false">IFERROR((D15+E15)*100/(I15-G15-H15),0)</f>
        <v>0</v>
      </c>
      <c r="F17" s="3" t="s">
        <v>259</v>
      </c>
    </row>
    <row r="18" customFormat="false" ht="15" hidden="false" customHeight="false" outlineLevel="0" collapsed="false">
      <c r="C18" s="2" t="s">
        <v>260</v>
      </c>
      <c r="E18" s="24" t="n">
        <f aca="false">IFERROR(D15*100/(D15+E15),0)</f>
        <v>0</v>
      </c>
      <c r="F18" s="3" t="s">
        <v>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2026-10-21T11:52:12Z</dcterms:created>
  <dc:creator>openpyxl</dc:creator>
  <dc:description/>
  <dc:language>en-US</dc:language>
  <cp:lastModifiedBy/>
  <dcterms:modified xsi:type="dcterms:W3CDTF">2026-10-21T11:52:12Z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