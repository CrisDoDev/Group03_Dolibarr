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Cover" sheetId="1" state="visible" r:id="rId1"/>
    <sheet xmlns:r="http://schemas.openxmlformats.org/officeDocument/2006/relationships" name="Test case List" sheetId="2" state="visible" r:id="rId2"/>
    <sheet xmlns:r="http://schemas.openxmlformats.org/officeDocument/2006/relationships" name="TestDesign" sheetId="3" state="visible" r:id="rId3"/>
    <sheet xmlns:r="http://schemas.openxmlformats.org/officeDocument/2006/relationships" name="Contracts" sheetId="4" state="visible" r:id="rId4"/>
    <sheet xmlns:r="http://schemas.openxmlformats.org/officeDocument/2006/relationships" name="Test Report" sheetId="5" state="visible" r:id="rId5"/>
  </sheets>
  <definedNames/>
  <calcPr calcId="124519" fullCalcOnLoad="1" refMode="A1" iterate="0" iterateCount="100" iterateDelta="0.0001"/>
</workbook>
</file>

<file path=xl/styles.xml><?xml version="1.0" encoding="utf-8"?>
<styleSheet xmlns="http://schemas.openxmlformats.org/spreadsheetml/2006/main">
  <numFmts count="1">
    <numFmt numFmtId="164" formatCode="dd/mm/yyyy"/>
  </numFmts>
  <fonts count="15">
    <font>
      <name val="Calibri"/>
      <charset val="1"/>
      <family val="2"/>
      <color theme="1"/>
      <sz val="11"/>
    </font>
    <font>
      <name val="Arial"/>
      <family val="0"/>
      <sz val="10"/>
    </font>
    <font>
      <name val="Arial"/>
      <family val="0"/>
      <sz val="10"/>
    </font>
    <font>
      <name val="Arial"/>
      <family val="0"/>
      <sz val="10"/>
    </font>
    <font>
      <name val="Tahoma"/>
      <charset val="1"/>
      <family val="0"/>
      <b val="1"/>
      <color rgb="FF000080"/>
      <sz val="20"/>
    </font>
    <font>
      <name val="Tahoma"/>
      <charset val="1"/>
      <family val="0"/>
      <b val="1"/>
      <color rgb="FF000000"/>
      <sz val="10"/>
    </font>
    <font>
      <name val="Tahoma"/>
      <charset val="1"/>
      <family val="0"/>
      <color rgb="FF000000"/>
      <sz val="10"/>
    </font>
    <font>
      <name val="Tahoma"/>
      <charset val="1"/>
      <family val="0"/>
      <b val="1"/>
      <color rgb="FF000080"/>
      <sz val="12"/>
    </font>
    <font>
      <name val="Tahoma"/>
      <charset val="1"/>
      <family val="0"/>
      <b val="1"/>
      <color rgb="FFFFFFFF"/>
      <sz val="10"/>
    </font>
    <font>
      <name val="Tahoma"/>
      <charset val="1"/>
      <family val="0"/>
      <i val="1"/>
      <color rgb="FF595959"/>
      <sz val="10"/>
    </font>
    <font>
      <name val="Tahoma"/>
      <charset val="1"/>
      <family val="0"/>
      <b val="1"/>
      <color rgb="FF000080"/>
      <sz val="16"/>
    </font>
    <font>
      <name val="Tahoma"/>
      <charset val="1"/>
      <family val="0"/>
      <color rgb="FF0563C1"/>
      <sz val="10"/>
      <u val="single"/>
    </font>
    <font>
      <name val="Arial"/>
      <charset val="1"/>
      <family val="0"/>
      <b val="1"/>
      <sz val="10"/>
    </font>
    <font>
      <name val="Arial"/>
      <charset val="1"/>
      <family val="0"/>
      <sz val="10"/>
    </font>
    <font>
      <name val="Tahoma"/>
      <charset val="1"/>
      <family val="0"/>
      <color rgb="FF808080"/>
      <sz val="9"/>
    </font>
  </fonts>
  <fills count="5">
    <fill>
      <patternFill/>
    </fill>
    <fill>
      <patternFill patternType="gray125"/>
    </fill>
    <fill>
      <patternFill patternType="solid">
        <fgColor rgb="FF000080"/>
        <bgColor rgb="FF000080"/>
      </patternFill>
    </fill>
    <fill>
      <patternFill patternType="solid">
        <fgColor rgb="FF333399"/>
        <bgColor rgb="FF003366"/>
      </patternFill>
    </fill>
    <fill>
      <patternFill patternType="solid">
        <fgColor rgb="FF00CCFF"/>
        <bgColor rgb="FF33CCCC"/>
      </patternFill>
    </fill>
  </fills>
  <borders count="2">
    <border>
      <left/>
      <right/>
      <top/>
      <bottom/>
      <diagonal/>
    </border>
    <border>
      <left style="thin">
        <color rgb="FF808080"/>
      </left>
      <right style="thin">
        <color rgb="FF808080"/>
      </right>
      <top style="thin">
        <color rgb="FF808080"/>
      </top>
      <bottom style="thin">
        <color rgb="FF808080"/>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50">
    <xf numFmtId="0" fontId="0" fillId="0" borderId="0" applyAlignment="1" pivotButton="0" quotePrefix="0" xfId="0">
      <alignment horizontal="general" vertical="bottom"/>
    </xf>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left" vertical="bottom"/>
    </xf>
    <xf numFmtId="0" fontId="6" fillId="0" borderId="0" applyAlignment="1" pivotButton="0" quotePrefix="0" xfId="0">
      <alignment horizontal="left"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6" fillId="0" borderId="0" applyAlignment="1" pivotButton="0" quotePrefix="0" xfId="0">
      <alignment horizontal="general" vertical="top" wrapText="1"/>
    </xf>
    <xf numFmtId="0" fontId="8" fillId="3" borderId="1" applyAlignment="1" pivotButton="0" quotePrefix="0" xfId="0">
      <alignment horizontal="center" vertical="center" wrapText="1"/>
    </xf>
    <xf numFmtId="0" fontId="11" fillId="0" borderId="1" applyAlignment="1" pivotButton="0" quotePrefix="0" xfId="0">
      <alignment horizontal="general" vertical="top" wrapText="1"/>
    </xf>
    <xf numFmtId="0" fontId="12" fillId="4" borderId="1" applyAlignment="1" pivotButton="0" quotePrefix="0" xfId="0">
      <alignment horizontal="center" vertical="center"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1" applyAlignment="1" pivotButton="0" quotePrefix="0" xfId="0">
      <alignment horizontal="center" vertical="center" wrapText="1"/>
    </xf>
    <xf numFmtId="0" fontId="14" fillId="0" borderId="0" applyAlignment="1" pivotButton="0" quotePrefix="0" xfId="0">
      <alignment horizontal="general" vertical="bottom"/>
    </xf>
    <xf numFmtId="0" fontId="5" fillId="0"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0" applyAlignment="1" pivotButton="0" quotePrefix="0" xfId="0">
      <alignment horizontal="general" vertical="bottom"/>
    </xf>
    <xf numFmtId="0" fontId="0" fillId="0" borderId="0" applyAlignment="1" pivotButton="0" quotePrefix="0" xfId="0">
      <alignment horizontal="general" vertical="bottom"/>
    </xf>
    <xf numFmtId="0" fontId="0" fillId="0" borderId="0" pivotButton="0" quotePrefix="0" xfId="0"/>
    <xf numFmtId="0" fontId="4" fillId="0" borderId="0" applyAlignment="1" pivotButton="0" quotePrefix="0" xfId="0">
      <alignment horizontal="general" vertical="bottom"/>
    </xf>
    <xf numFmtId="0" fontId="5" fillId="0" borderId="0" applyAlignment="1" pivotButton="0" quotePrefix="0" xfId="0">
      <alignment horizontal="general" vertical="bottom"/>
    </xf>
    <xf numFmtId="0" fontId="6" fillId="0" borderId="0" applyAlignment="1" pivotButton="0" quotePrefix="0" xfId="0">
      <alignment horizontal="general" vertical="bottom"/>
    </xf>
    <xf numFmtId="164" fontId="6" fillId="0" borderId="0" applyAlignment="1" pivotButton="0" quotePrefix="0" xfId="0">
      <alignment horizontal="left" vertical="bottom"/>
    </xf>
    <xf numFmtId="0" fontId="6" fillId="0" borderId="0" applyAlignment="1" pivotButton="0" quotePrefix="0" xfId="0">
      <alignment horizontal="left" vertical="bottom"/>
    </xf>
    <xf numFmtId="0" fontId="7" fillId="0" borderId="0" applyAlignment="1" pivotButton="0" quotePrefix="0" xfId="0">
      <alignment horizontal="general" vertical="bottom"/>
    </xf>
    <xf numFmtId="0" fontId="8" fillId="2"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0" borderId="1" applyAlignment="1" pivotButton="0" quotePrefix="0" xfId="0">
      <alignment horizontal="general" vertical="top" wrapText="1"/>
    </xf>
    <xf numFmtId="0" fontId="9" fillId="0" borderId="0" applyAlignment="1" pivotButton="0" quotePrefix="0" xfId="0">
      <alignment horizontal="general" vertical="bottom"/>
    </xf>
    <xf numFmtId="0" fontId="10" fillId="0" borderId="0" applyAlignment="1" pivotButton="0" quotePrefix="0" xfId="0">
      <alignment horizontal="general" vertical="bottom"/>
    </xf>
    <xf numFmtId="0" fontId="6" fillId="0" borderId="0" applyAlignment="1" pivotButton="0" quotePrefix="0" xfId="0">
      <alignment horizontal="general" vertical="top" wrapText="1"/>
    </xf>
    <xf numFmtId="0" fontId="5" fillId="0" borderId="0" applyAlignment="1" pivotButton="0" quotePrefix="0" xfId="0">
      <alignment horizontal="general" vertical="top" wrapText="1"/>
    </xf>
    <xf numFmtId="0" fontId="8" fillId="3" borderId="1" applyAlignment="1" pivotButton="0" quotePrefix="0" xfId="0">
      <alignment horizontal="center" vertical="center" wrapText="1"/>
    </xf>
    <xf numFmtId="0" fontId="11" fillId="0" borderId="1" applyAlignment="1" pivotButton="0" quotePrefix="0" xfId="0">
      <alignment horizontal="general" vertical="top" wrapText="1"/>
    </xf>
    <xf numFmtId="0" fontId="12" fillId="4" borderId="1" applyAlignment="1" pivotButton="0" quotePrefix="0" xfId="0">
      <alignment horizontal="center" vertical="center" wrapText="1"/>
    </xf>
    <xf numFmtId="0" fontId="12" fillId="0" borderId="1" applyAlignment="1" pivotButton="0" quotePrefix="0" xfId="0">
      <alignment horizontal="general" vertical="top" wrapText="1"/>
    </xf>
    <xf numFmtId="0" fontId="13" fillId="0" borderId="1" applyAlignment="1" pivotButton="0" quotePrefix="0" xfId="0">
      <alignment horizontal="general" vertical="top" wrapText="1"/>
    </xf>
    <xf numFmtId="0" fontId="13" fillId="0" borderId="1" applyAlignment="1" pivotButton="0" quotePrefix="0" xfId="0">
      <alignment horizontal="center" vertical="center" wrapText="1"/>
    </xf>
    <xf numFmtId="0" fontId="14" fillId="0" borderId="0" applyAlignment="1" pivotButton="0" quotePrefix="0" xfId="0">
      <alignment horizontal="general" vertical="bottom"/>
    </xf>
    <xf numFmtId="0" fontId="5" fillId="0" borderId="1" applyAlignment="1" pivotButton="0" quotePrefix="0" xfId="0">
      <alignment horizontal="center" vertical="center" wrapText="1"/>
    </xf>
    <xf numFmtId="164" fontId="6" fillId="0" borderId="1" applyAlignment="1" pivotButton="0" quotePrefix="0" xfId="0">
      <alignment horizontal="center" vertical="center" wrapText="1"/>
    </xf>
    <xf numFmtId="2" fontId="6" fillId="0" borderId="0" applyAlignment="1" pivotButton="0" quotePrefix="0" xfId="0">
      <alignment horizontal="general" vertical="bottom"/>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3">
    <dxf>
      <fill>
        <patternFill>
          <bgColor rgb="FFC6EFCE"/>
        </patternFill>
      </fill>
    </dxf>
    <dxf>
      <fill>
        <patternFill>
          <bgColor rgb="FFFFC7CE"/>
        </patternFill>
      </fill>
    </dxf>
    <dxf>
      <fill>
        <patternFill>
          <bgColor rgb="FFFFEB9C"/>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6EFCE"/>
      <rgbColor rgb="FFFFEB9C"/>
      <rgbColor rgb="FF99CCFF"/>
      <rgbColor rgb="FFFF99CC"/>
      <rgbColor rgb="FFCC99FF"/>
      <rgbColor rgb="FFFFC7CE"/>
      <rgbColor rgb="FF3366FF"/>
      <rgbColor rgb="FF33CCCC"/>
      <rgbColor rgb="FF99CC00"/>
      <rgbColor rgb="FFFFCC00"/>
      <rgbColor rgb="FFFF9900"/>
      <rgbColor rgb="FFFF6600"/>
      <rgbColor rgb="FF595959"/>
      <rgbColor rgb="FF969696"/>
      <rgbColor rgb="FF003366"/>
      <rgbColor rgb="FF339966"/>
      <rgbColor rgb="FF003300"/>
      <rgbColor rgb="FF333300"/>
      <rgbColor rgb="FF993300"/>
      <rgbColor rgb="FF993366"/>
      <rgbColor rgb="FF333399"/>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Relationships xmlns="http://schemas.openxmlformats.org/package/2006/relationships"><Relationship Type="http://schemas.openxmlformats.org/officeDocument/2006/relationships/hyperlink" Target="Group03_23130094_BuiAnhHau.xlsx" TargetMode="External" Id="rId1"/></Relationships>
</file>

<file path=xl/worksheets/sheet1.xml><?xml version="1.0" encoding="utf-8"?>
<worksheet xmlns="http://schemas.openxmlformats.org/spreadsheetml/2006/main">
  <sheetPr filterMode="0">
    <outlinePr summaryBelow="1" summaryRight="1"/>
    <pageSetUpPr fitToPage="0"/>
  </sheetPr>
  <dimension ref="B2:G14"/>
  <sheetViews>
    <sheetView showFormulas="0" showGridLines="0" showRowColHeaders="1" showZeros="1" rightToLeft="0" tabSelected="1"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5" min="1" max="1"/>
    <col width="22" customWidth="1" style="25" min="2" max="2"/>
    <col width="32" customWidth="1" style="25" min="3" max="3"/>
    <col width="14" customWidth="1" style="25" min="4" max="4"/>
    <col width="10" customWidth="1" style="25" min="5" max="5"/>
    <col width="24" customWidth="1" style="25" min="6" max="6"/>
    <col width="40" customWidth="1" style="25" min="7" max="7"/>
  </cols>
  <sheetData>
    <row r="2" ht="24.45" customHeight="1" s="26">
      <c r="B2" s="27" t="inlineStr">
        <is>
          <t>TEST CASE</t>
        </is>
      </c>
    </row>
    <row r="4" ht="15" customHeight="1" s="26">
      <c r="B4" s="28" t="inlineStr">
        <is>
          <t>Project Name</t>
        </is>
      </c>
      <c r="C4" s="29" t="inlineStr">
        <is>
          <t>DOLIBARR</t>
        </is>
      </c>
      <c r="F4" s="28" t="inlineStr">
        <is>
          <t>Creator</t>
        </is>
      </c>
      <c r="G4" s="30" t="inlineStr">
        <is>
          <t>Bui Anh Hau</t>
        </is>
      </c>
    </row>
    <row r="5" ht="15" customHeight="1" s="26">
      <c r="B5" s="28" t="inlineStr">
        <is>
          <t>Project Code</t>
        </is>
      </c>
      <c r="C5" s="29" t="inlineStr">
        <is>
          <t>DOLIBARR</t>
        </is>
      </c>
      <c r="F5" s="28" t="inlineStr">
        <is>
          <t>Reviewer/Approver</t>
        </is>
      </c>
      <c r="G5" s="31" t="n"/>
    </row>
    <row r="6" ht="15" customHeight="1" s="26">
      <c r="B6" s="28" t="inlineStr">
        <is>
          <t>Document Code</t>
        </is>
      </c>
      <c r="C6" s="29" t="inlineStr">
        <is>
          <t>DOLIBARR_TestCase</t>
        </is>
      </c>
      <c r="F6" s="28" t="inlineStr">
        <is>
          <t>Issue Date</t>
        </is>
      </c>
      <c r="G6" s="30" t="n">
        <v>46325</v>
      </c>
    </row>
    <row r="7" ht="15" customHeight="1" s="26">
      <c r="F7" s="28" t="inlineStr">
        <is>
          <t>Version</t>
        </is>
      </c>
      <c r="G7" s="31" t="n">
        <v>0.2</v>
      </c>
    </row>
    <row r="10" ht="15" customHeight="1" s="26">
      <c r="B10" s="32" t="inlineStr">
        <is>
          <t>Record of change</t>
        </is>
      </c>
    </row>
    <row r="11" ht="15" customHeight="1" s="26">
      <c r="B11" s="33" t="inlineStr">
        <is>
          <t>Effective Date</t>
        </is>
      </c>
      <c r="C11" s="33" t="inlineStr">
        <is>
          <t>Version</t>
        </is>
      </c>
      <c r="D11" s="33" t="inlineStr">
        <is>
          <t>Change Item</t>
        </is>
      </c>
      <c r="E11" s="33" t="inlineStr">
        <is>
          <t>*A,D,M</t>
        </is>
      </c>
      <c r="F11" s="33" t="inlineStr">
        <is>
          <t>Change description</t>
        </is>
      </c>
      <c r="G11" s="33" t="inlineStr">
        <is>
          <t>Reference</t>
        </is>
      </c>
    </row>
    <row r="12" ht="23.85" customHeight="1" s="26">
      <c r="B12" s="34" t="inlineStr">
        <is>
          <t>20/10/2026</t>
        </is>
      </c>
      <c r="C12" s="34" t="inlineStr">
        <is>
          <t>0.1</t>
        </is>
      </c>
      <c r="D12" s="34" t="inlineStr">
        <is>
          <t>Contracts</t>
        </is>
      </c>
      <c r="E12" s="34" t="inlineStr">
        <is>
          <t>A</t>
        </is>
      </c>
      <c r="F12" s="35" t="inlineStr">
        <is>
          <t>Created 26 Contract test cases</t>
        </is>
      </c>
      <c r="G12" s="35" t="inlineStr">
        <is>
          <t>Assignment 6</t>
        </is>
      </c>
    </row>
    <row r="13">
      <c r="B13" s="34" t="inlineStr">
        <is>
          <t>30/10/2026</t>
        </is>
      </c>
      <c r="C13" s="34" t="inlineStr">
        <is>
          <t>0.2</t>
        </is>
      </c>
      <c r="D13" s="34" t="inlineStr">
        <is>
          <t>Contracts</t>
        </is>
      </c>
      <c r="E13" s="34" t="inlineStr">
        <is>
          <t>M</t>
        </is>
      </c>
      <c r="F13" s="35" t="inlineStr">
        <is>
          <t>Updated test cases to match the automation script; updated Result/Test date after running Selenium IDE script on the demo site</t>
        </is>
      </c>
      <c r="G13" s="35" t="inlineStr">
        <is>
          <t>Assignment 7</t>
        </is>
      </c>
    </row>
    <row r="14" ht="15" customHeight="1" s="26">
      <c r="B14" s="36" t="inlineStr">
        <is>
          <t>*A: Added  D: Deleted  M: Modified</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B1:F9"/>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5" min="1" max="1"/>
    <col width="6" customWidth="1" style="25" min="2" max="2"/>
    <col width="24" customWidth="1" style="25" min="3" max="3"/>
    <col width="22" customWidth="1" style="25" min="4" max="4"/>
    <col width="50" customWidth="1" style="25" min="5" max="6"/>
  </cols>
  <sheetData>
    <row r="1" ht="19.7" customHeight="1" s="26">
      <c r="D1" s="37" t="inlineStr">
        <is>
          <t>TEST CASE LIST</t>
        </is>
      </c>
    </row>
    <row r="3" ht="15" customHeight="1" s="26">
      <c r="B3" s="28" t="inlineStr">
        <is>
          <t>Project Name</t>
        </is>
      </c>
      <c r="D3" s="38">
        <f>Cover!C4</f>
        <v/>
      </c>
    </row>
    <row r="4" ht="15" customHeight="1" s="26">
      <c r="B4" s="28" t="inlineStr">
        <is>
          <t>Project Code</t>
        </is>
      </c>
      <c r="D4" s="38">
        <f>Cover!C5</f>
        <v/>
      </c>
    </row>
    <row r="5" ht="30" customHeight="1" s="26">
      <c r="B5" s="39" t="inlineStr">
        <is>
          <t>Test Environment Setup Description</t>
        </is>
      </c>
      <c r="D5" s="38" t="inlineStr">
        <is>
          <t>Dolibarr ERP &amp; CRM demo 24.0.2 (https://demo.dolibarr.org); Google Chrome; all modules enabled (manual module selection).</t>
        </is>
      </c>
    </row>
    <row r="8" ht="15" customHeight="1" s="26">
      <c r="B8" s="40" t="inlineStr">
        <is>
          <t>No</t>
        </is>
      </c>
      <c r="C8" s="40" t="inlineStr">
        <is>
          <t>Function Name</t>
        </is>
      </c>
      <c r="D8" s="40" t="inlineStr">
        <is>
          <t>Sheet Name</t>
        </is>
      </c>
      <c r="E8" s="40" t="inlineStr">
        <is>
          <t>Description</t>
        </is>
      </c>
      <c r="F8" s="40" t="inlineStr">
        <is>
          <t>Pre-Condition</t>
        </is>
      </c>
    </row>
    <row r="9" ht="31.5" customHeight="1" s="26">
      <c r="B9" s="34" t="n">
        <v>1</v>
      </c>
      <c r="C9" s="35" t="inlineStr">
        <is>
          <t>Contracts</t>
        </is>
      </c>
      <c r="D9" s="41" t="inlineStr">
        <is>
          <t>Contracts</t>
        </is>
      </c>
      <c r="E9" s="35" t="inlineStr">
        <is>
          <t>Create, list/search/sort, view, edit and delete (draft) contracts.</t>
        </is>
      </c>
      <c r="F9" s="35" t="inlineStr">
        <is>
          <t>Sign in; at least 1 Third party exists; the contract list has sample data.</t>
        </is>
      </c>
    </row>
  </sheetData>
  <mergeCells count="2">
    <mergeCell ref="B5:C5"/>
    <mergeCell ref="D5:F5"/>
  </mergeCells>
  <hyperlinks>
    <hyperlink xmlns:r="http://schemas.openxmlformats.org/officeDocument/2006/relationships" ref="D9" location="'Contracts'!A1" display="Contracts" r:id="rId1"/>
  </hyperlink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F47"/>
  <sheetViews>
    <sheetView showFormulas="0" showGridLines="1" showRowColHeaders="1" showZeros="1" rightToLeft="0" tabSelected="0"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zeroHeight="0" outlineLevelRow="0"/>
  <cols>
    <col width="24" customWidth="1" style="25" min="1" max="2"/>
    <col width="34" customWidth="1" style="25" min="3" max="3"/>
    <col width="70" customWidth="1" style="25" min="4" max="4"/>
    <col width="12" customWidth="1" style="25" min="5" max="5"/>
    <col width="34" customWidth="1" style="25" min="6" max="6"/>
  </cols>
  <sheetData>
    <row r="1" ht="15" customHeight="1" s="26">
      <c r="A1" s="42" t="inlineStr">
        <is>
          <t>Requirement Level 1</t>
        </is>
      </c>
      <c r="B1" s="42" t="inlineStr">
        <is>
          <t>Requirement Level 2</t>
        </is>
      </c>
      <c r="C1" s="42" t="inlineStr">
        <is>
          <t>Requirement Level 3</t>
        </is>
      </c>
      <c r="D1" s="42" t="inlineStr">
        <is>
          <t>Test Criteria</t>
        </is>
      </c>
      <c r="E1" s="42" t="inlineStr">
        <is>
          <t>Test Type</t>
        </is>
      </c>
      <c r="F1" s="42" t="inlineStr">
        <is>
          <t>Note</t>
        </is>
      </c>
    </row>
    <row r="2" ht="27" customHeight="1" s="26">
      <c r="A2" s="43" t="inlineStr">
        <is>
          <t>1. Contracts</t>
        </is>
      </c>
      <c r="B2" s="44" t="inlineStr">
        <is>
          <t>1.1 Create</t>
        </is>
      </c>
      <c r="C2" s="44" t="inlineStr">
        <is>
          <t>Screen / Displaying</t>
        </is>
      </c>
      <c r="D2" s="44" t="inlineStr">
        <is>
          <t>Check displaying New contract screen by clicking [New contract or subscription]</t>
        </is>
      </c>
      <c r="E2" s="45" t="inlineStr">
        <is>
          <t>Function</t>
        </is>
      </c>
      <c r="F2" s="44" t="inlineStr">
        <is>
          <t>CONTRACT_Create_01</t>
        </is>
      </c>
    </row>
    <row r="3" ht="15" customHeight="1" s="26">
      <c r="A3" s="44" t="n"/>
      <c r="B3" s="44" t="n"/>
      <c r="C3" s="44" t="inlineStr">
        <is>
          <t>Screen / Layout and defaults</t>
        </is>
      </c>
      <c r="D3" s="44" t="inlineStr">
        <is>
          <t>Check layout and default values of New contract screen</t>
        </is>
      </c>
      <c r="E3" s="45" t="inlineStr">
        <is>
          <t>GUI</t>
        </is>
      </c>
      <c r="F3" s="44" t="inlineStr">
        <is>
          <t>CONTRACT_Create_02</t>
        </is>
      </c>
    </row>
    <row r="4" ht="27" customHeight="1" s="26">
      <c r="A4" s="44" t="n"/>
      <c r="B4" s="44" t="n"/>
      <c r="C4" s="44" t="inlineStr">
        <is>
          <t>Successful create / Minimum data</t>
        </is>
      </c>
      <c r="D4" s="44" t="inlineStr">
        <is>
          <t>Check create a draft contract with only the required field (Third party)</t>
        </is>
      </c>
      <c r="E4" s="45" t="inlineStr">
        <is>
          <t>Function</t>
        </is>
      </c>
      <c r="F4" s="44" t="inlineStr">
        <is>
          <t>CONTRACT_Create_03</t>
        </is>
      </c>
    </row>
    <row r="5" ht="27" customHeight="1" s="26">
      <c r="A5" s="44" t="n"/>
      <c r="B5" s="44" t="n"/>
      <c r="C5" s="44" t="inlineStr">
        <is>
          <t>Successful create / Note (internal)</t>
        </is>
      </c>
      <c r="D5" s="44" t="inlineStr">
        <is>
          <t>Check create a contract with Note (internal) filled</t>
        </is>
      </c>
      <c r="E5" s="45" t="inlineStr">
        <is>
          <t>Function</t>
        </is>
      </c>
      <c r="F5" s="44" t="inlineStr">
        <is>
          <t>CONTRACT_Create_04</t>
        </is>
      </c>
    </row>
    <row r="6" ht="15" customHeight="1" s="26">
      <c r="A6" s="44" t="n"/>
      <c r="B6" s="44" t="n"/>
      <c r="C6" s="44" t="inlineStr">
        <is>
          <t>Required field / Third party</t>
        </is>
      </c>
      <c r="D6" s="44" t="inlineStr">
        <is>
          <t>Check reject creation when Third party is empty</t>
        </is>
      </c>
      <c r="E6" s="45" t="inlineStr">
        <is>
          <t>Function</t>
        </is>
      </c>
      <c r="F6" s="44" t="inlineStr">
        <is>
          <t>CONTRACT_Create_05</t>
        </is>
      </c>
    </row>
    <row r="7" ht="27" customHeight="1" s="26">
      <c r="A7" s="44" t="n"/>
      <c r="B7" s="44" t="n"/>
      <c r="C7" s="44" t="inlineStr">
        <is>
          <t>Result in list</t>
        </is>
      </c>
      <c r="D7" s="44" t="inlineStr">
        <is>
          <t>Check new contract is displayed in the Contracts list after creating</t>
        </is>
      </c>
      <c r="E7" s="45" t="inlineStr">
        <is>
          <t>Function</t>
        </is>
      </c>
      <c r="F7" s="44" t="inlineStr">
        <is>
          <t>CONTRACT_Create_06</t>
        </is>
      </c>
    </row>
    <row r="8" ht="15" customHeight="1" s="26">
      <c r="A8" s="44" t="n"/>
      <c r="B8" s="44" t="n"/>
      <c r="C8" s="44" t="inlineStr">
        <is>
          <t>Cancel creation</t>
        </is>
      </c>
      <c r="D8" s="44" t="inlineStr">
        <is>
          <t>Check cancel a New contract form without saving</t>
        </is>
      </c>
      <c r="E8" s="45" t="inlineStr">
        <is>
          <t>Function</t>
        </is>
      </c>
      <c r="F8" s="44" t="inlineStr">
        <is>
          <t>CONTRACT_Create_07</t>
        </is>
      </c>
    </row>
    <row r="9" ht="15" customHeight="1" s="26">
      <c r="A9" s="44" t="n"/>
      <c r="B9" s="44" t="n"/>
      <c r="C9" s="44" t="inlineStr">
        <is>
          <t>Create continuously</t>
        </is>
      </c>
      <c r="D9" s="44" t="inlineStr">
        <is>
          <t>Check create two contracts continuously</t>
        </is>
      </c>
      <c r="E9" s="45" t="inlineStr">
        <is>
          <t>Function</t>
        </is>
      </c>
      <c r="F9" s="44" t="inlineStr">
        <is>
          <t>CONTRACT_Create_08</t>
        </is>
      </c>
    </row>
    <row r="10" ht="15" customHeight="1" s="26">
      <c r="A10" s="44" t="n"/>
      <c r="B10" s="44" t="n"/>
      <c r="C10" s="44" t="inlineStr">
        <is>
          <t>Field value / Date</t>
        </is>
      </c>
      <c r="D10" s="44" t="inlineStr">
        <is>
          <t>Check create a contract with a past Date</t>
        </is>
      </c>
      <c r="E10" s="45" t="inlineStr">
        <is>
          <t>Function</t>
        </is>
      </c>
      <c r="F10" s="44" t="inlineStr">
        <is>
          <t>CONTRACT_Create_09; EP</t>
        </is>
      </c>
    </row>
    <row r="11" ht="15" customHeight="1" s="26">
      <c r="A11" s="44" t="n"/>
      <c r="B11" s="44" t="n"/>
      <c r="C11" s="44" t="inlineStr">
        <is>
          <t>Field value / Note (internal)</t>
        </is>
      </c>
      <c r="D11" s="44" t="inlineStr">
        <is>
          <t>Check Note (internal) with special characters</t>
        </is>
      </c>
      <c r="E11" s="45" t="inlineStr">
        <is>
          <t>Function</t>
        </is>
      </c>
      <c r="F11" s="44" t="inlineStr">
        <is>
          <t>CONTRACT_Create_10; EP</t>
        </is>
      </c>
    </row>
    <row r="12" ht="15" customHeight="1" s="26">
      <c r="A12" s="44" t="n"/>
      <c r="B12" s="44" t="n"/>
      <c r="C12" s="44" t="inlineStr">
        <is>
          <t>Field value / Note (internal)</t>
        </is>
      </c>
      <c r="D12" s="44" t="inlineStr">
        <is>
          <t>Check Note (internal) with a very long value (1000 characters)</t>
        </is>
      </c>
      <c r="E12" s="45" t="inlineStr">
        <is>
          <t>Function</t>
        </is>
      </c>
      <c r="F12" s="44" t="inlineStr">
        <is>
          <t>CONTRACT_Create_11; BVA</t>
        </is>
      </c>
    </row>
    <row r="13" ht="27" customHeight="1" s="26">
      <c r="A13" s="44" t="n"/>
      <c r="B13" s="44" t="inlineStr">
        <is>
          <t>1.2 Read</t>
        </is>
      </c>
      <c r="C13" s="44" t="inlineStr">
        <is>
          <t>List display</t>
        </is>
      </c>
      <c r="D13" s="44" t="inlineStr">
        <is>
          <t>Check open Contracts list via menu and verify the page title and table</t>
        </is>
      </c>
      <c r="E13" s="45" t="inlineStr">
        <is>
          <t>Function</t>
        </is>
      </c>
      <c r="F13" s="44" t="inlineStr">
        <is>
          <t>CONTRACT_List_01</t>
        </is>
      </c>
    </row>
    <row r="14" ht="15" customHeight="1" s="26">
      <c r="A14" s="44" t="n"/>
      <c r="B14" s="44" t="n"/>
      <c r="C14" s="44" t="inlineStr">
        <is>
          <t>List layout</t>
        </is>
      </c>
      <c r="D14" s="44" t="inlineStr">
        <is>
          <t>Check layout of Contracts list screen</t>
        </is>
      </c>
      <c r="E14" s="45" t="inlineStr">
        <is>
          <t>GUI</t>
        </is>
      </c>
      <c r="F14" s="44" t="inlineStr">
        <is>
          <t>CONTRACT_List_02</t>
        </is>
      </c>
    </row>
    <row r="15" ht="15" customHeight="1" s="26">
      <c r="A15" s="44" t="n"/>
      <c r="B15" s="44" t="n"/>
      <c r="C15" s="44" t="inlineStr">
        <is>
          <t>Search by Ref.</t>
        </is>
      </c>
      <c r="D15" s="44" t="inlineStr">
        <is>
          <t>Check find a contract using an existing Ref.</t>
        </is>
      </c>
      <c r="E15" s="45" t="inlineStr">
        <is>
          <t>Function</t>
        </is>
      </c>
      <c r="F15" s="44" t="inlineStr">
        <is>
          <t>CONTRACT_Search_01</t>
        </is>
      </c>
    </row>
    <row r="16" ht="15" customHeight="1" s="26">
      <c r="A16" s="44" t="n"/>
      <c r="B16" s="44" t="n"/>
      <c r="C16" s="44" t="inlineStr">
        <is>
          <t>Search / No match</t>
        </is>
      </c>
      <c r="D16" s="44" t="inlineStr">
        <is>
          <t>Check return no record for a non-existent Ref.</t>
        </is>
      </c>
      <c r="E16" s="45" t="inlineStr">
        <is>
          <t>Function</t>
        </is>
      </c>
      <c r="F16" s="44" t="inlineStr">
        <is>
          <t>CONTRACT_Search_02</t>
        </is>
      </c>
    </row>
    <row r="17" ht="15" customHeight="1" s="26">
      <c r="A17" s="44" t="n"/>
      <c r="B17" s="44" t="n"/>
      <c r="C17" s="44" t="inlineStr">
        <is>
          <t>Search by Third party</t>
        </is>
      </c>
      <c r="D17" s="44" t="inlineStr">
        <is>
          <t>Check filter contracts by Third party</t>
        </is>
      </c>
      <c r="E17" s="45" t="inlineStr">
        <is>
          <t>Function</t>
        </is>
      </c>
      <c r="F17" s="44" t="inlineStr">
        <is>
          <t>CONTRACT_Search_03</t>
        </is>
      </c>
    </row>
    <row r="18" ht="15" customHeight="1" s="26">
      <c r="A18" s="44" t="n"/>
      <c r="B18" s="44" t="n"/>
      <c r="C18" s="44" t="inlineStr">
        <is>
          <t>Filter by Status</t>
        </is>
      </c>
      <c r="D18" s="44" t="inlineStr">
        <is>
          <t>Check filter contracts by Status = Draft</t>
        </is>
      </c>
      <c r="E18" s="45" t="inlineStr">
        <is>
          <t>Function</t>
        </is>
      </c>
      <c r="F18" s="44" t="inlineStr">
        <is>
          <t>CONTRACT_Search_04</t>
        </is>
      </c>
    </row>
    <row r="19" ht="15" customHeight="1" s="26">
      <c r="A19" s="44" t="n"/>
      <c r="B19" s="44" t="n"/>
      <c r="C19" s="44" t="inlineStr">
        <is>
          <t>Clear filter</t>
        </is>
      </c>
      <c r="D19" s="44" t="inlineStr">
        <is>
          <t>Check clear the applied filter</t>
        </is>
      </c>
      <c r="E19" s="45" t="inlineStr">
        <is>
          <t>Function</t>
        </is>
      </c>
      <c r="F19" s="44" t="inlineStr">
        <is>
          <t>CONTRACT_Search_05</t>
        </is>
      </c>
    </row>
    <row r="20" ht="15" customHeight="1" s="26">
      <c r="A20" s="44" t="n"/>
      <c r="B20" s="44" t="n"/>
      <c r="C20" s="44" t="inlineStr">
        <is>
          <t>Sorting</t>
        </is>
      </c>
      <c r="D20" s="44" t="inlineStr">
        <is>
          <t>Check change sort by Ref. (ascending, descending)</t>
        </is>
      </c>
      <c r="E20" s="45" t="inlineStr">
        <is>
          <t>Function</t>
        </is>
      </c>
      <c r="F20" s="44" t="inlineStr">
        <is>
          <t>CONTRACT_Search_06</t>
        </is>
      </c>
    </row>
    <row r="21" ht="15" customHeight="1" s="26">
      <c r="A21" s="44" t="n"/>
      <c r="B21" s="44" t="n"/>
      <c r="C21" s="44" t="inlineStr">
        <is>
          <t>Sorting</t>
        </is>
      </c>
      <c r="D21" s="44" t="inlineStr">
        <is>
          <t>Check change sort by Contract date (ascending, descending)</t>
        </is>
      </c>
      <c r="E21" s="45" t="inlineStr">
        <is>
          <t>Function</t>
        </is>
      </c>
      <c r="F21" s="44" t="inlineStr">
        <is>
          <t>CONTRACT_Search_07</t>
        </is>
      </c>
    </row>
    <row r="22" ht="15" customHeight="1" s="26">
      <c r="A22" s="44" t="n"/>
      <c r="B22" s="44" t="n"/>
      <c r="C22" s="44" t="inlineStr">
        <is>
          <t>Details</t>
        </is>
      </c>
      <c r="D22" s="44" t="inlineStr">
        <is>
          <t>Check view Contract detail screen from the list</t>
        </is>
      </c>
      <c r="E22" s="45" t="inlineStr">
        <is>
          <t>Function</t>
        </is>
      </c>
      <c r="F22" s="44" t="inlineStr">
        <is>
          <t>CONTRACT_View_01</t>
        </is>
      </c>
    </row>
    <row r="23" ht="15" customHeight="1" s="26">
      <c r="A23" s="44" t="n"/>
      <c r="B23" s="44" t="n"/>
      <c r="C23" s="44" t="inlineStr">
        <is>
          <t>Navigation</t>
        </is>
      </c>
      <c r="D23" s="44" t="inlineStr">
        <is>
          <t>Check go back to the list from Contract detail screen</t>
        </is>
      </c>
      <c r="E23" s="45" t="inlineStr">
        <is>
          <t>Function</t>
        </is>
      </c>
      <c r="F23" s="44" t="inlineStr">
        <is>
          <t>CONTRACT_View_02</t>
        </is>
      </c>
    </row>
    <row r="24" ht="15" customHeight="1" s="26">
      <c r="A24" s="44" t="n"/>
      <c r="B24" s="44" t="inlineStr">
        <is>
          <t>1.3 Update</t>
        </is>
      </c>
      <c r="C24" s="44" t="inlineStr">
        <is>
          <t>Update Ref. customer</t>
        </is>
      </c>
      <c r="D24" s="44" t="inlineStr">
        <is>
          <t>Check modify Ref. customer of a draft contract</t>
        </is>
      </c>
      <c r="E24" s="45" t="inlineStr">
        <is>
          <t>Function</t>
        </is>
      </c>
      <c r="F24" s="44" t="inlineStr">
        <is>
          <t>CONTRACT_Edit_01</t>
        </is>
      </c>
    </row>
    <row r="25" ht="15" customHeight="1" s="26">
      <c r="A25" s="44" t="n"/>
      <c r="B25" s="44" t="n"/>
      <c r="C25" s="44" t="inlineStr">
        <is>
          <t>Cancel edit</t>
        </is>
      </c>
      <c r="D25" s="44" t="inlineStr">
        <is>
          <t>Check cancel modify Ref. customer</t>
        </is>
      </c>
      <c r="E25" s="45" t="inlineStr">
        <is>
          <t>Function</t>
        </is>
      </c>
      <c r="F25" s="44" t="inlineStr">
        <is>
          <t>CONTRACT_Edit_02</t>
        </is>
      </c>
    </row>
    <row r="26" ht="15" customHeight="1" s="26">
      <c r="A26" s="44" t="n"/>
      <c r="B26" s="44" t="inlineStr">
        <is>
          <t>1.4 Delete</t>
        </is>
      </c>
      <c r="C26" s="44" t="inlineStr">
        <is>
          <t>Delete successful</t>
        </is>
      </c>
      <c r="D26" s="44" t="inlineStr">
        <is>
          <t>Check delete a draft contract and confirm</t>
        </is>
      </c>
      <c r="E26" s="45" t="inlineStr">
        <is>
          <t>Function</t>
        </is>
      </c>
      <c r="F26" s="44" t="inlineStr">
        <is>
          <t>CONTRACT_Delete_01</t>
        </is>
      </c>
    </row>
    <row r="27" ht="15" customHeight="1" s="26">
      <c r="A27" s="44" t="n"/>
      <c r="B27" s="44" t="n"/>
      <c r="C27" s="44" t="inlineStr">
        <is>
          <t>Cancel deletion</t>
        </is>
      </c>
      <c r="D27" s="44" t="inlineStr">
        <is>
          <t>Check cancel delete contract and the contract is preserved</t>
        </is>
      </c>
      <c r="E27" s="45" t="inlineStr">
        <is>
          <t>Function</t>
        </is>
      </c>
      <c r="F27" s="44" t="inlineStr">
        <is>
          <t>CONTRACT_Delete_02</t>
        </is>
      </c>
    </row>
    <row r="28" ht="27" customHeight="1" s="26">
      <c r="A28" s="43" t="inlineStr">
        <is>
          <t>2. Purchase Orders</t>
        </is>
      </c>
      <c r="B28" s="44" t="inlineStr">
        <is>
          <t>2.1 Create</t>
        </is>
      </c>
      <c r="C28" s="44" t="inlineStr">
        <is>
          <t>Screen / Displaying</t>
        </is>
      </c>
      <c r="D28" s="44" t="inlineStr">
        <is>
          <t>Check displaying New purchase order screen and its fields</t>
        </is>
      </c>
      <c r="E28" s="45" t="inlineStr">
        <is>
          <t>GUI</t>
        </is>
      </c>
      <c r="F28" s="44" t="inlineStr">
        <is>
          <t>Planned - detailed test cases in a later week</t>
        </is>
      </c>
    </row>
    <row r="29" ht="15" customHeight="1" s="26">
      <c r="A29" s="44" t="n"/>
      <c r="B29" s="44" t="n"/>
      <c r="C29" s="44" t="inlineStr">
        <is>
          <t>Required field / Vendor</t>
        </is>
      </c>
      <c r="D29" s="44" t="inlineStr">
        <is>
          <t>Check reject creation when Vendor is empty</t>
        </is>
      </c>
      <c r="E29" s="45" t="inlineStr">
        <is>
          <t>Function</t>
        </is>
      </c>
      <c r="F29" s="44" t="n"/>
    </row>
    <row r="30" ht="27" customHeight="1" s="26">
      <c r="A30" s="44" t="n"/>
      <c r="B30" s="44" t="n"/>
      <c r="C30" s="44" t="inlineStr">
        <is>
          <t>Successful create / Minimum data</t>
        </is>
      </c>
      <c r="D30" s="44" t="inlineStr">
        <is>
          <t>Check create a draft purchase order with only mandatory fields</t>
        </is>
      </c>
      <c r="E30" s="45" t="inlineStr">
        <is>
          <t>Function</t>
        </is>
      </c>
      <c r="F30" s="44" t="n"/>
    </row>
    <row r="31" ht="15" customHeight="1" s="26">
      <c r="A31" s="44" t="n"/>
      <c r="B31" s="44" t="n"/>
      <c r="C31" s="44" t="inlineStr">
        <is>
          <t>Cancel creation</t>
        </is>
      </c>
      <c r="D31" s="44" t="inlineStr">
        <is>
          <t>Check cancel create purchase order</t>
        </is>
      </c>
      <c r="E31" s="45" t="inlineStr">
        <is>
          <t>Function</t>
        </is>
      </c>
      <c r="F31" s="44" t="n"/>
    </row>
    <row r="32" ht="15" customHeight="1" s="26">
      <c r="A32" s="44" t="n"/>
      <c r="B32" s="44" t="inlineStr">
        <is>
          <t>2.2 Read</t>
        </is>
      </c>
      <c r="C32" s="44" t="inlineStr">
        <is>
          <t>List display</t>
        </is>
      </c>
      <c r="D32" s="44" t="inlineStr">
        <is>
          <t>Check open Purchase Orders list via menu</t>
        </is>
      </c>
      <c r="E32" s="45" t="inlineStr">
        <is>
          <t>Function</t>
        </is>
      </c>
      <c r="F32" s="44" t="n"/>
    </row>
    <row r="33" ht="15" customHeight="1" s="26">
      <c r="A33" s="44" t="n"/>
      <c r="B33" s="44" t="n"/>
      <c r="C33" s="44" t="inlineStr">
        <is>
          <t>Search by Ref.</t>
        </is>
      </c>
      <c r="D33" s="44" t="inlineStr">
        <is>
          <t>Check find a purchase order by Ref.</t>
        </is>
      </c>
      <c r="E33" s="45" t="inlineStr">
        <is>
          <t>Function</t>
        </is>
      </c>
      <c r="F33" s="44" t="n"/>
    </row>
    <row r="34" ht="15" customHeight="1" s="26">
      <c r="A34" s="44" t="n"/>
      <c r="B34" s="44" t="n"/>
      <c r="C34" s="44" t="inlineStr">
        <is>
          <t>Sorting</t>
        </is>
      </c>
      <c r="D34" s="44" t="inlineStr">
        <is>
          <t>Check change sort by Ref. (ascending, descending)</t>
        </is>
      </c>
      <c r="E34" s="45" t="inlineStr">
        <is>
          <t>Function</t>
        </is>
      </c>
      <c r="F34" s="44" t="n"/>
    </row>
    <row r="35" ht="27" customHeight="1" s="26">
      <c r="A35" s="44" t="n"/>
      <c r="B35" s="44" t="inlineStr">
        <is>
          <t>2.3 Update</t>
        </is>
      </c>
      <c r="C35" s="44" t="inlineStr">
        <is>
          <t>Order lines</t>
        </is>
      </c>
      <c r="D35" s="44" t="inlineStr">
        <is>
          <t>Check add a free text line (quantity 2, unit price 100) - total excl. tax = 200</t>
        </is>
      </c>
      <c r="E35" s="45" t="inlineStr">
        <is>
          <t>Function</t>
        </is>
      </c>
      <c r="F35" s="44" t="inlineStr">
        <is>
          <t>Calculation check</t>
        </is>
      </c>
    </row>
    <row r="36" ht="15" customHeight="1" s="26">
      <c r="A36" s="44" t="n"/>
      <c r="B36" s="44" t="n"/>
      <c r="C36" s="44" t="inlineStr">
        <is>
          <t>Order lines</t>
        </is>
      </c>
      <c r="D36" s="44" t="inlineStr">
        <is>
          <t>Check delete an order line - total back to 0</t>
        </is>
      </c>
      <c r="E36" s="45" t="inlineStr">
        <is>
          <t>Function</t>
        </is>
      </c>
      <c r="F36" s="44" t="n"/>
    </row>
    <row r="37" ht="15" customHeight="1" s="26">
      <c r="A37" s="44" t="n"/>
      <c r="B37" s="44" t="inlineStr">
        <is>
          <t>2.4 Delete</t>
        </is>
      </c>
      <c r="C37" s="44" t="inlineStr">
        <is>
          <t>Delete successful</t>
        </is>
      </c>
      <c r="D37" s="44" t="inlineStr">
        <is>
          <t>Check delete a draft purchase order</t>
        </is>
      </c>
      <c r="E37" s="45" t="inlineStr">
        <is>
          <t>Function</t>
        </is>
      </c>
      <c r="F37" s="44" t="n"/>
    </row>
    <row r="38" ht="27" customHeight="1" s="26">
      <c r="A38" s="43" t="inlineStr">
        <is>
          <t>3. Supplier Invoices</t>
        </is>
      </c>
      <c r="B38" s="44" t="inlineStr">
        <is>
          <t>3.1 Create</t>
        </is>
      </c>
      <c r="C38" s="44" t="inlineStr">
        <is>
          <t>Screen / Displaying</t>
        </is>
      </c>
      <c r="D38" s="44" t="inlineStr">
        <is>
          <t>Check displaying New supplier invoice screen and its fields</t>
        </is>
      </c>
      <c r="E38" s="45" t="inlineStr">
        <is>
          <t>GUI</t>
        </is>
      </c>
      <c r="F38" s="44" t="inlineStr">
        <is>
          <t>Planned - detailed test cases in a later week</t>
        </is>
      </c>
    </row>
    <row r="39" ht="15" customHeight="1" s="26">
      <c r="A39" s="44" t="n"/>
      <c r="B39" s="44" t="n"/>
      <c r="C39" s="44" t="inlineStr">
        <is>
          <t>Required field / Vendor</t>
        </is>
      </c>
      <c r="D39" s="44" t="inlineStr">
        <is>
          <t>Check reject creation when Vendor is empty</t>
        </is>
      </c>
      <c r="E39" s="45" t="inlineStr">
        <is>
          <t>Function</t>
        </is>
      </c>
      <c r="F39" s="44" t="n"/>
    </row>
    <row r="40" ht="15" customHeight="1" s="26">
      <c r="A40" s="44" t="n"/>
      <c r="B40" s="44" t="n"/>
      <c r="C40" s="44" t="inlineStr">
        <is>
          <t>Required field / Ref. supplier</t>
        </is>
      </c>
      <c r="D40" s="44" t="inlineStr">
        <is>
          <t>Check reject creation when Ref. supplier is empty</t>
        </is>
      </c>
      <c r="E40" s="45" t="inlineStr">
        <is>
          <t>Function</t>
        </is>
      </c>
      <c r="F40" s="44" t="n"/>
    </row>
    <row r="41" ht="27" customHeight="1" s="26">
      <c r="A41" s="44" t="n"/>
      <c r="B41" s="44" t="n"/>
      <c r="C41" s="44" t="inlineStr">
        <is>
          <t>Successful create / Minimum data</t>
        </is>
      </c>
      <c r="D41" s="44" t="inlineStr">
        <is>
          <t>Check create a draft supplier invoice with only mandatory fields</t>
        </is>
      </c>
      <c r="E41" s="45" t="inlineStr">
        <is>
          <t>Function</t>
        </is>
      </c>
      <c r="F41" s="44" t="n"/>
    </row>
    <row r="42" ht="15" customHeight="1" s="26">
      <c r="A42" s="44" t="n"/>
      <c r="B42" s="44" t="n"/>
      <c r="C42" s="44" t="inlineStr">
        <is>
          <t>Cancel creation</t>
        </is>
      </c>
      <c r="D42" s="44" t="inlineStr">
        <is>
          <t>Check cancel create supplier invoice</t>
        </is>
      </c>
      <c r="E42" s="45" t="inlineStr">
        <is>
          <t>Function</t>
        </is>
      </c>
      <c r="F42" s="44" t="n"/>
    </row>
    <row r="43" ht="15" customHeight="1" s="26">
      <c r="A43" s="44" t="n"/>
      <c r="B43" s="44" t="inlineStr">
        <is>
          <t>3.2 Read</t>
        </is>
      </c>
      <c r="C43" s="44" t="inlineStr">
        <is>
          <t>List display</t>
        </is>
      </c>
      <c r="D43" s="44" t="inlineStr">
        <is>
          <t>Check open Supplier invoices list via menu</t>
        </is>
      </c>
      <c r="E43" s="45" t="inlineStr">
        <is>
          <t>Function</t>
        </is>
      </c>
      <c r="F43" s="44" t="n"/>
    </row>
    <row r="44" ht="15" customHeight="1" s="26">
      <c r="A44" s="44" t="n"/>
      <c r="B44" s="44" t="n"/>
      <c r="C44" s="44" t="inlineStr">
        <is>
          <t>Search by Ref.</t>
        </is>
      </c>
      <c r="D44" s="44" t="inlineStr">
        <is>
          <t>Check find a supplier invoice by Ref. supplier</t>
        </is>
      </c>
      <c r="E44" s="45" t="inlineStr">
        <is>
          <t>Function</t>
        </is>
      </c>
      <c r="F44" s="44" t="n"/>
    </row>
    <row r="45" ht="15" customHeight="1" s="26">
      <c r="A45" s="44" t="n"/>
      <c r="B45" s="44" t="n"/>
      <c r="C45" s="44" t="inlineStr">
        <is>
          <t>Filter by Status</t>
        </is>
      </c>
      <c r="D45" s="44" t="inlineStr">
        <is>
          <t>Check filter by Status = Draft</t>
        </is>
      </c>
      <c r="E45" s="45" t="inlineStr">
        <is>
          <t>Function</t>
        </is>
      </c>
      <c r="F45" s="44" t="n"/>
    </row>
    <row r="46" ht="27" customHeight="1" s="26">
      <c r="A46" s="44" t="n"/>
      <c r="B46" s="44" t="inlineStr">
        <is>
          <t>3.3 Update</t>
        </is>
      </c>
      <c r="C46" s="44" t="inlineStr">
        <is>
          <t>Invoice lines</t>
        </is>
      </c>
      <c r="D46" s="44" t="inlineStr">
        <is>
          <t>Check add a free text line (quantity 3, unit price 50) - total excl. tax = 150</t>
        </is>
      </c>
      <c r="E46" s="45" t="inlineStr">
        <is>
          <t>Function</t>
        </is>
      </c>
      <c r="F46" s="44" t="inlineStr">
        <is>
          <t>Calculation check</t>
        </is>
      </c>
    </row>
    <row r="47" ht="15" customHeight="1" s="26">
      <c r="A47" s="44" t="n"/>
      <c r="B47" s="44" t="inlineStr">
        <is>
          <t>3.4 Delete</t>
        </is>
      </c>
      <c r="C47" s="44" t="inlineStr">
        <is>
          <t>Delete successful</t>
        </is>
      </c>
      <c r="D47" s="44" t="inlineStr">
        <is>
          <t>Check delete a draft supplier invoice</t>
        </is>
      </c>
      <c r="E47" s="45" t="inlineStr">
        <is>
          <t>Function</t>
        </is>
      </c>
      <c r="F47" s="44" t="n"/>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filterMode="0">
    <outlinePr summaryBelow="1" summaryRight="1"/>
    <pageSetUpPr fitToPage="0"/>
  </sheetPr>
  <dimension ref="A2:J34"/>
  <sheetViews>
    <sheetView showFormulas="0" showGridLines="1" showRowColHeaders="1" showZeros="1" rightToLeft="0" tabSelected="0" showOutlineSymbols="1" defaultGridColor="1"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baseColWidth="8" defaultColWidth="8.6796875" defaultRowHeight="15" zeroHeight="0" outlineLevelRow="0"/>
  <cols>
    <col width="21" customWidth="1" style="25" min="1" max="1"/>
    <col width="32" customWidth="1" style="25" min="2" max="2"/>
    <col width="58" customWidth="1" style="25" min="3" max="3"/>
    <col width="46" customWidth="1" style="25" min="4" max="4"/>
    <col width="20" customWidth="1" style="25" min="5" max="5"/>
    <col width="13" customWidth="1" style="25" min="6" max="6"/>
    <col width="12" customWidth="1" style="25" min="7" max="7"/>
    <col width="36" customWidth="1" style="25" min="8" max="8"/>
    <col width="10" customWidth="1" style="25" min="10" max="10"/>
  </cols>
  <sheetData>
    <row r="2" ht="15" customHeight="1" s="26">
      <c r="A2" s="28" t="inlineStr">
        <is>
          <t>Module Code</t>
        </is>
      </c>
      <c r="B2" s="29" t="inlineStr">
        <is>
          <t>CONTRACT</t>
        </is>
      </c>
      <c r="J2" s="46" t="inlineStr">
        <is>
          <t>Passed</t>
        </is>
      </c>
    </row>
    <row r="3" ht="15" customHeight="1" s="26">
      <c r="A3" s="28" t="inlineStr">
        <is>
          <t>Test requirement</t>
        </is>
      </c>
      <c r="B3" s="29" t="inlineStr">
        <is>
          <t>Contracts</t>
        </is>
      </c>
      <c r="J3" s="46" t="inlineStr">
        <is>
          <t>Failed</t>
        </is>
      </c>
    </row>
    <row r="4" ht="15" customHeight="1" s="26">
      <c r="A4" s="28" t="inlineStr">
        <is>
          <t>Tester</t>
        </is>
      </c>
      <c r="B4" s="29" t="inlineStr">
        <is>
          <t>Bui Anh Hau</t>
        </is>
      </c>
      <c r="J4" s="46" t="inlineStr">
        <is>
          <t>Blocked</t>
        </is>
      </c>
    </row>
    <row r="5" ht="23.85" customHeight="1" s="26">
      <c r="A5" s="33" t="inlineStr">
        <is>
          <t>Passed</t>
        </is>
      </c>
      <c r="B5" s="33" t="inlineStr">
        <is>
          <t>Failed</t>
        </is>
      </c>
      <c r="C5" s="33" t="inlineStr">
        <is>
          <t>Untested</t>
        </is>
      </c>
      <c r="D5" s="33" t="inlineStr">
        <is>
          <t>Blocked</t>
        </is>
      </c>
      <c r="E5" s="33" t="inlineStr">
        <is>
          <t>Skipped</t>
        </is>
      </c>
      <c r="F5" s="33" t="inlineStr">
        <is>
          <t>Number of Test cases</t>
        </is>
      </c>
      <c r="J5" s="46" t="inlineStr">
        <is>
          <t>Untested</t>
        </is>
      </c>
    </row>
    <row r="6" ht="15" customHeight="1" s="26">
      <c r="A6" s="47">
        <f>COUNTIF(F9:F996,"Passed")</f>
        <v/>
      </c>
      <c r="B6" s="47">
        <f>COUNTIF(F9:F996,"Failed")</f>
        <v/>
      </c>
      <c r="C6" s="47">
        <f>F6-E6-D6-B6-A6</f>
        <v/>
      </c>
      <c r="D6" s="47">
        <f>COUNTIF(F9:F996,"Blocked")</f>
        <v/>
      </c>
      <c r="E6" s="47">
        <f>COUNTIF(F9:F996,"Skipped")</f>
        <v/>
      </c>
      <c r="F6" s="47">
        <f>COUNTA(A9:A996)</f>
        <v/>
      </c>
      <c r="J6" s="46" t="inlineStr">
        <is>
          <t>Skipped</t>
        </is>
      </c>
    </row>
    <row r="8" ht="23.85" customHeight="1" s="26">
      <c r="A8" s="33" t="inlineStr">
        <is>
          <t>ID</t>
        </is>
      </c>
      <c r="B8" s="33" t="inlineStr">
        <is>
          <t>Test Case Description</t>
        </is>
      </c>
      <c r="C8" s="33" t="inlineStr">
        <is>
          <t>Test Case Procedure</t>
        </is>
      </c>
      <c r="D8" s="33" t="inlineStr">
        <is>
          <t>Expected Output</t>
        </is>
      </c>
      <c r="E8" s="33" t="inlineStr">
        <is>
          <t>Inter-test case Dependence</t>
        </is>
      </c>
      <c r="F8" s="33" t="inlineStr">
        <is>
          <t>Result</t>
        </is>
      </c>
      <c r="G8" s="33" t="inlineStr">
        <is>
          <t>Test date</t>
        </is>
      </c>
      <c r="H8" s="33" t="inlineStr">
        <is>
          <t>Note</t>
        </is>
      </c>
    </row>
    <row r="9" ht="54" customHeight="1" s="26">
      <c r="A9" s="35" t="inlineStr">
        <is>
          <t>CONTRACT_Create_01</t>
        </is>
      </c>
      <c r="B9" s="35" t="inlineStr">
        <is>
          <t>Check displaying New contract screen by clicking [New contract or subscription] on the left menu</t>
        </is>
      </c>
      <c r="C9" s="35" t="inlineStr">
        <is>
          <t>PRE: Signed in the Dolibarr demo with the Contracts module enabled; at least 1 Third party exists.
1. On the left menu, click [New contract or subscription]</t>
        </is>
      </c>
      <c r="D9" s="35" t="inlineStr">
        <is>
          <t>1. New contract screen is displayed (page title = "New contract")</t>
        </is>
      </c>
      <c r="E9" s="34" t="inlineStr">
        <is>
          <t>CONTRACT_List_01</t>
        </is>
      </c>
      <c r="F9" s="34" t="inlineStr">
        <is>
          <t>Passed</t>
        </is>
      </c>
      <c r="G9" s="48" t="n">
        <v>46325</v>
      </c>
      <c r="H9" s="35" t="inlineStr">
        <is>
          <t>Automated by Selenium IDE (23130094_BuiAnhHau_ASM7.side)</t>
        </is>
      </c>
    </row>
    <row r="10" ht="162" customHeight="1" s="26">
      <c r="A10" s="35" t="inlineStr">
        <is>
          <t>CONTRACT_Create_02</t>
        </is>
      </c>
      <c r="B10" s="35" t="inlineStr">
        <is>
          <t>Check layout and default values of New contract screen</t>
        </is>
      </c>
      <c r="C10" s="35" t="inlineStr">
        <is>
          <t>PRE: Signed in the Dolibarr demo with the Contracts module enabled; at least 1 Third party exists.
1. Open New contract screen (CONTRACT_Create_01)
2. Check the displayed fields, default values and buttons</t>
        </is>
      </c>
      <c r="D10" s="35" t="inlineStr">
        <is>
          <t>2. Screen displays:
    - Third party (required, bold label, empty - "Select a third party")
    - Sales representative following-up contract (default = David Doe)
    - Sales representative signing contract (default = David Doe)
    - Date (default = current date)
    - Project (empty), Note (public), Note (internal)
    - Buttons [CREATE DRAFT] and [CANCEL]</t>
        </is>
      </c>
      <c r="E10" s="34" t="inlineStr">
        <is>
          <t>CONTRACT_Create_01</t>
        </is>
      </c>
      <c r="F10" s="34" t="inlineStr">
        <is>
          <t>Passed</t>
        </is>
      </c>
      <c r="G10" s="48" t="n">
        <v>46325</v>
      </c>
      <c r="H10" s="35" t="inlineStr">
        <is>
          <t>Automated by Selenium IDE (23130094_BuiAnhHau_ASM7.side)</t>
        </is>
      </c>
    </row>
    <row r="11" ht="94.5" customHeight="1" s="26">
      <c r="A11" s="35" t="inlineStr">
        <is>
          <t>CONTRACT_Create_03</t>
        </is>
      </c>
      <c r="B11" s="35" t="inlineStr">
        <is>
          <t>Check creating a draft contract with only the required field (Third party)</t>
        </is>
      </c>
      <c r="C11" s="35" t="inlineStr">
        <is>
          <t>PRE: Signed in the Dolibarr demo with the Contracts module enabled; at least 1 Third party exists. Third party = Testldr1.
1. On New contract screen, select Third party = Testldr1
2. Keep the other fields as default
3. Click [CREATE DRAFT] button</t>
        </is>
      </c>
      <c r="D11" s="35" t="inlineStr">
        <is>
          <t>3. Contract is created, Contract detail screen is displayed
    - Status = Draft
    - Ref is a provisional ref (e.g. "(PROV...)")
    - Third party = Testldr1</t>
        </is>
      </c>
      <c r="E11" s="34" t="inlineStr">
        <is>
          <t>CONTRACT_Create_01</t>
        </is>
      </c>
      <c r="F11" s="34" t="inlineStr">
        <is>
          <t>Passed</t>
        </is>
      </c>
      <c r="G11" s="48" t="n">
        <v>46325</v>
      </c>
      <c r="H11" s="35" t="inlineStr">
        <is>
          <t>Automated by Selenium IDE (23130094_BuiAnhHau_ASM7.side)</t>
        </is>
      </c>
    </row>
    <row r="12" ht="121.5" customHeight="1" s="26">
      <c r="A12" s="35" t="inlineStr">
        <is>
          <t>CONTRACT_Create_04</t>
        </is>
      </c>
      <c r="B12" s="35" t="inlineStr">
        <is>
          <t>Check creating a contract with Note (internal) filled</t>
        </is>
      </c>
      <c r="C12" s="35" t="inlineStr">
        <is>
          <t>PRE: Signed in the Dolibarr demo with the Contracts module enabled; at least 1 Third party exists. Third party = Testldr1; Note (internal) = Internal note 01.
1. On New contract screen, select Third party = Testldr1
2. Input Note (internal) = Internal note 01
3. Click [CREATE DRAFT] button
4. On Contract detail screen, open tab [Notes]</t>
        </is>
      </c>
      <c r="D12" s="35" t="inlineStr">
        <is>
          <t>3. Contract is created, Contract detail screen is displayed
4. Tab [Notes] shows the internal note = "Internal note 01"</t>
        </is>
      </c>
      <c r="E12" s="34" t="inlineStr">
        <is>
          <t>CONTRACT_Create_01</t>
        </is>
      </c>
      <c r="F12" s="34" t="inlineStr">
        <is>
          <t>Passed</t>
        </is>
      </c>
      <c r="G12" s="48" t="n">
        <v>46325</v>
      </c>
      <c r="H12" s="35" t="inlineStr">
        <is>
          <t>Automated by Selenium IDE (23130094_BuiAnhHau_ASM7.side)</t>
        </is>
      </c>
    </row>
    <row r="13" ht="67.5" customHeight="1" s="26">
      <c r="A13" s="35" t="inlineStr">
        <is>
          <t>CONTRACT_Create_05</t>
        </is>
      </c>
      <c r="B13" s="35" t="inlineStr">
        <is>
          <t>Check required field - Third party</t>
        </is>
      </c>
      <c r="C13" s="35" t="inlineStr">
        <is>
          <t>PRE: Signed in the Dolibarr demo with the Contracts module enabled; at least 1 Third party exists.
1. On New contract screen, do not select Third party
2. Click [CREATE DRAFT] button</t>
        </is>
      </c>
      <c r="D13" s="35" t="inlineStr">
        <is>
          <t>2. New contract screen is still displayed
    - Error message "Field 'Third party' is required" is displayed
    - No contract is created</t>
        </is>
      </c>
      <c r="E13" s="34" t="inlineStr">
        <is>
          <t>CONTRACT_Create_01</t>
        </is>
      </c>
      <c r="F13" s="34" t="inlineStr">
        <is>
          <t>Passed</t>
        </is>
      </c>
      <c r="G13" s="48" t="n">
        <v>46325</v>
      </c>
      <c r="H13" s="35" t="inlineStr">
        <is>
          <t>Automated by Selenium IDE (23130094_BuiAnhHau_ASM7.side)</t>
        </is>
      </c>
    </row>
    <row r="14" ht="135" customHeight="1" s="26">
      <c r="A14" s="35" t="inlineStr">
        <is>
          <t>CONTRACT_Create_06</t>
        </is>
      </c>
      <c r="B14" s="35" t="inlineStr">
        <is>
          <t>Check new contract is displayed in the Contracts list after creating</t>
        </is>
      </c>
      <c r="C14" s="35" t="inlineStr">
        <is>
          <t>PRE: Signed in the Dolibarr demo with the Contracts module enabled; at least 1 Third party exists. Third party = Testldr1.
1. Create a draft contract (steps of CONTRACT_Create_03)
2. Write down the Ref of the new contract on Contract detail screen
3. Open Contracts list screen
4. Input the Ref into the Ref. filter box and press Enter</t>
        </is>
      </c>
      <c r="D14" s="35" t="inlineStr">
        <is>
          <t>2. The Ref (provisional) is displayed on the detail screen
4. The new contract is displayed in the list</t>
        </is>
      </c>
      <c r="E14" s="34" t="inlineStr">
        <is>
          <t>CONTRACT_Create_03</t>
        </is>
      </c>
      <c r="F14" s="34" t="inlineStr">
        <is>
          <t>Passed</t>
        </is>
      </c>
      <c r="G14" s="48" t="n">
        <v>46325</v>
      </c>
      <c r="H14" s="35" t="inlineStr">
        <is>
          <t>Automated by Selenium IDE (23130094_BuiAnhHau_ASM7.side)</t>
        </is>
      </c>
    </row>
    <row r="15" ht="135" customHeight="1" s="26">
      <c r="A15" s="35" t="inlineStr">
        <is>
          <t>CONTRACT_Create_07</t>
        </is>
      </c>
      <c r="B15" s="35" t="inlineStr">
        <is>
          <t>Check cancelling create contract</t>
        </is>
      </c>
      <c r="C15" s="35" t="inlineStr">
        <is>
          <t>PRE: Signed in the Dolibarr demo with the Contracts module enabled; at least 1 Third party exists. Third party = Testldr1.
1. Open Contracts list screen and write down n in the title "Contracts (n)"
2. Click [New contract or subscription] on the left menu
3. Select Third party = Testldr1
4. Click [CANCEL] button
5. Open Contracts list screen again</t>
        </is>
      </c>
      <c r="D15" s="35" t="inlineStr">
        <is>
          <t>4. New contract screen is closed (back to the previous screen)
5. Page title is still "Contracts (n)" - no contract was created</t>
        </is>
      </c>
      <c r="E15" s="34" t="inlineStr">
        <is>
          <t>CONTRACT_List_01</t>
        </is>
      </c>
      <c r="F15" s="34" t="inlineStr">
        <is>
          <t>Passed</t>
        </is>
      </c>
      <c r="G15" s="48" t="n">
        <v>46325</v>
      </c>
      <c r="H15" s="35" t="inlineStr">
        <is>
          <t>Automated by Selenium IDE (23130094_BuiAnhHau_ASM7.side)</t>
        </is>
      </c>
    </row>
    <row r="16" ht="135" customHeight="1" s="26">
      <c r="A16" s="35" t="inlineStr">
        <is>
          <t>CONTRACT_Create_08</t>
        </is>
      </c>
      <c r="B16" s="35" t="inlineStr">
        <is>
          <t>Check creating two contracts continuously</t>
        </is>
      </c>
      <c r="C16" s="35" t="inlineStr">
        <is>
          <t>PRE: Signed in the Dolibarr demo with the Contracts module enabled; at least 1 Third party exists. Third party = Testldr1 (both contracts).
1. Open Contracts list screen and write down n in the title "Contracts (n)"
2. Create the 1st draft contract (steps of CONTRACT_Create_03)
3. Click [New contract or subscription] again and create the 2nd draft contract
4. Open Contracts list screen</t>
        </is>
      </c>
      <c r="D16" s="35" t="inlineStr">
        <is>
          <t>3. New contract screen is displayed again with empty Third party (no data kept from the previous contract)
4. Page title = "Contracts (n+2)"</t>
        </is>
      </c>
      <c r="E16" s="34" t="inlineStr">
        <is>
          <t>CONTRACT_Create_03</t>
        </is>
      </c>
      <c r="F16" s="34" t="inlineStr">
        <is>
          <t>Passed</t>
        </is>
      </c>
      <c r="G16" s="48" t="n">
        <v>46325</v>
      </c>
      <c r="H16" s="35" t="inlineStr">
        <is>
          <t>Automated by Selenium IDE (23130094_BuiAnhHau_ASM7.side)</t>
        </is>
      </c>
    </row>
    <row r="17" ht="94.5" customHeight="1" s="26">
      <c r="A17" s="35" t="inlineStr">
        <is>
          <t>CONTRACT_Create_09</t>
        </is>
      </c>
      <c r="B17" s="35" t="inlineStr">
        <is>
          <t>Check creating a contract with a past Date</t>
        </is>
      </c>
      <c r="C17" s="35" t="inlineStr">
        <is>
          <t>PRE: Signed in the Dolibarr demo with the Contracts module enabled; at least 1 Third party exists. Third party = Testldr1; Date = 01/01/2026.
1. On New contract screen, select Third party = Testldr1
2. Clear the Date field and input 01/01/2026
3. Click [CREATE DRAFT] button</t>
        </is>
      </c>
      <c r="D17" s="35" t="inlineStr">
        <is>
          <t>3. Contract is created successfully
    - Contract date = 01/01/2026 is displayed on Contract detail screen</t>
        </is>
      </c>
      <c r="E17" s="34" t="inlineStr">
        <is>
          <t>CONTRACT_Create_01</t>
        </is>
      </c>
      <c r="F17" s="34" t="inlineStr">
        <is>
          <t>Passed</t>
        </is>
      </c>
      <c r="G17" s="48" t="n">
        <v>46325</v>
      </c>
      <c r="H17" s="35" t="inlineStr">
        <is>
          <t>Automated by Selenium IDE (23130094_BuiAnhHau_ASM7.side)</t>
        </is>
      </c>
    </row>
    <row r="18" ht="108" customHeight="1" s="26">
      <c r="A18" s="35" t="inlineStr">
        <is>
          <t>CONTRACT_Create_10</t>
        </is>
      </c>
      <c r="B18" s="35" t="inlineStr">
        <is>
          <t>Check Note (internal) with special characters</t>
        </is>
      </c>
      <c r="C18" s="35" t="inlineStr">
        <is>
          <t>PRE: Signed in the Dolibarr demo with the Contracts module enabled; at least 1 Third party exists. Third party = Testldr1; Note (internal) = Note @#$%&amp;*().
1. On New contract screen, select Third party = Testldr1
2. Input Note (internal) = Note @#$%&amp;*()
3. Click [CREATE DRAFT] button
4. On Contract detail screen, open tab [Notes]</t>
        </is>
      </c>
      <c r="D18" s="35" t="inlineStr">
        <is>
          <t>3. Contract is created successfully, no error message
4. Tab [Notes] shows the internal note exactly as input: Note @#$%&amp;*()</t>
        </is>
      </c>
      <c r="E18" s="34" t="inlineStr">
        <is>
          <t>CONTRACT_Create_01</t>
        </is>
      </c>
      <c r="F18" s="34" t="inlineStr">
        <is>
          <t>Passed</t>
        </is>
      </c>
      <c r="G18" s="48" t="n">
        <v>46325</v>
      </c>
      <c r="H18" s="35" t="inlineStr">
        <is>
          <t>Automated by Selenium IDE (23130094_BuiAnhHau_ASM7.side)</t>
        </is>
      </c>
    </row>
    <row r="19" ht="108" customHeight="1" s="26">
      <c r="A19" s="35" t="inlineStr">
        <is>
          <t>CONTRACT_Create_11</t>
        </is>
      </c>
      <c r="B19" s="35" t="inlineStr">
        <is>
          <t>Check Note (internal) with a very long value (1000 characters)</t>
        </is>
      </c>
      <c r="C19" s="35" t="inlineStr">
        <is>
          <t>PRE: Signed in the Dolibarr demo with the Contracts module enabled; at least 1 Third party exists. Third party = Testldr1; Note (internal) = 1000 characters "A".
1. On New contract screen, select Third party = Testldr1
2. Input Note (internal) = 1000 characters "A"
3. Click [CREATE DRAFT] button</t>
        </is>
      </c>
      <c r="D19" s="35" t="inlineStr">
        <is>
          <t>3. System does not show any technical/system error page
    - Contract is created and Contract detail screen is displayed</t>
        </is>
      </c>
      <c r="E19" s="34" t="inlineStr">
        <is>
          <t>CONTRACT_Create_01</t>
        </is>
      </c>
      <c r="F19" s="34" t="inlineStr">
        <is>
          <t>Passed</t>
        </is>
      </c>
      <c r="G19" s="48" t="n">
        <v>46325</v>
      </c>
      <c r="H19" s="35" t="inlineStr">
        <is>
          <t>Automated by Selenium IDE (23130094_BuiAnhHau_ASM7.side)</t>
        </is>
      </c>
    </row>
    <row r="20" ht="81" customHeight="1" s="26">
      <c r="A20" s="35" t="inlineStr">
        <is>
          <t>CONTRACT_List_01</t>
        </is>
      </c>
      <c r="B20" s="35" t="inlineStr">
        <is>
          <t>Check displaying Contracts list screen by selecting [Commercial] &gt; [Contracts/Subscriptions] &gt; [List] from the menu</t>
        </is>
      </c>
      <c r="C20" s="35" t="inlineStr">
        <is>
          <t>PRE: Signed in the Dolibarr demo with the Contracts module enabled; at least 1 Third party exists.
1. On Dolibarr home page, click menu [Commercial] on the top menu bar
2. Click [List] under [Contracts/Subscriptions] on the left menu</t>
        </is>
      </c>
      <c r="D20" s="35" t="inlineStr">
        <is>
          <t>1. Commerce area is displayed, left menu has [Contracts/Subscriptions]
2. Contracts list screen is displayed
    - Page title = "Contracts (n)" (n = number of contracts)
    - Table of contracts is displayed</t>
        </is>
      </c>
      <c r="E20" s="34" t="n"/>
      <c r="F20" s="34" t="inlineStr">
        <is>
          <t>Passed</t>
        </is>
      </c>
      <c r="G20" s="48" t="n">
        <v>46325</v>
      </c>
      <c r="H20" s="35" t="inlineStr">
        <is>
          <t>Automated by Selenium IDE (23130094_BuiAnhHau_ASM7.side)</t>
        </is>
      </c>
    </row>
    <row r="21" ht="94.5" customHeight="1" s="26">
      <c r="A21" s="35" t="inlineStr">
        <is>
          <t>CONTRACT_List_02</t>
        </is>
      </c>
      <c r="B21" s="35" t="inlineStr">
        <is>
          <t>Check layout of Contracts list screen</t>
        </is>
      </c>
      <c r="C21" s="35" t="inlineStr">
        <is>
          <t>PRE: Signed in the Dolibarr demo with the Contracts module enabled; at least 1 Third party exists.
1. Open Contracts list screen (CONTRACT_List_01)
2. Check the columns, the filter row and the icons</t>
        </is>
      </c>
      <c r="D21" s="35" t="inlineStr">
        <is>
          <t>2. Screen displays:
    - Columns: Ref., Ref. customer, Ref. vendor, Third party, Zip Code, Phone, Mobile, Contract date
    - Filter row with a search icon (magnifier) and a clear icon (X)
    - Rows of contracts below</t>
        </is>
      </c>
      <c r="E21" s="34" t="inlineStr">
        <is>
          <t>CONTRACT_List_01</t>
        </is>
      </c>
      <c r="F21" s="34" t="inlineStr">
        <is>
          <t>Passed</t>
        </is>
      </c>
      <c r="G21" s="48" t="n">
        <v>46325</v>
      </c>
      <c r="H21" s="35" t="inlineStr">
        <is>
          <t>Automated by Selenium IDE (23130094_BuiAnhHau_ASM7.side)</t>
        </is>
      </c>
    </row>
    <row r="22" ht="81" customHeight="1" s="26">
      <c r="A22" s="35" t="inlineStr">
        <is>
          <t>CONTRACT_Search_01</t>
        </is>
      </c>
      <c r="B22" s="35" t="inlineStr">
        <is>
          <t>Check searching contracts by an existing Ref</t>
        </is>
      </c>
      <c r="C22" s="35" t="inlineStr">
        <is>
          <t>PRE: Signed in the Dolibarr demo with the Contracts module enabled; at least 1 Third party exists. At least 1 contract exists in the list.
1. On Contracts list screen, take the Ref of the first contract in the list
2. Input that Ref (without parentheses) into the Ref. filter box
3. Press Enter</t>
        </is>
      </c>
      <c r="D22" s="35" t="inlineStr">
        <is>
          <t>3. The contract with that Ref is displayed in the list</t>
        </is>
      </c>
      <c r="E22" s="34" t="inlineStr">
        <is>
          <t>CONTRACT_List_01</t>
        </is>
      </c>
      <c r="F22" s="34" t="inlineStr">
        <is>
          <t>Passed</t>
        </is>
      </c>
      <c r="G22" s="48" t="n">
        <v>46325</v>
      </c>
      <c r="H22" s="35" t="inlineStr">
        <is>
          <t>Automated by Selenium IDE (23130094_BuiAnhHau_ASM7.side)</t>
        </is>
      </c>
    </row>
    <row r="23" ht="67.5" customHeight="1" s="26">
      <c r="A23" s="35" t="inlineStr">
        <is>
          <t>CONTRACT_Search_02</t>
        </is>
      </c>
      <c r="B23" s="35" t="inlineStr">
        <is>
          <t>Check searching contracts by a non-existent Ref</t>
        </is>
      </c>
      <c r="C23" s="35" t="inlineStr">
        <is>
          <t>PRE: Signed in the Dolibarr demo with the Contracts module enabled; at least 1 Third party exists.
1. On Contracts list screen, input Ref = NOT_EXIST_999 into the Ref. filter box
2. Press Enter</t>
        </is>
      </c>
      <c r="D23" s="35" t="inlineStr">
        <is>
          <t>2. No contract is displayed
    - Page title = "Contracts (0)"
    - Message "No record found" is displayed</t>
        </is>
      </c>
      <c r="E23" s="34" t="inlineStr">
        <is>
          <t>CONTRACT_List_01</t>
        </is>
      </c>
      <c r="F23" s="34" t="inlineStr">
        <is>
          <t>Passed</t>
        </is>
      </c>
      <c r="G23" s="48" t="n">
        <v>46325</v>
      </c>
      <c r="H23" s="35" t="inlineStr">
        <is>
          <t>Automated by Selenium IDE (23130094_BuiAnhHau_ASM7.side)</t>
        </is>
      </c>
    </row>
    <row r="24" ht="94.5" customHeight="1" s="26">
      <c r="A24" s="35" t="inlineStr">
        <is>
          <t>CONTRACT_Search_03</t>
        </is>
      </c>
      <c r="B24" s="35" t="inlineStr">
        <is>
          <t>Check searching contracts by Third party</t>
        </is>
      </c>
      <c r="C24" s="35" t="inlineStr">
        <is>
          <t>PRE: Signed in the Dolibarr demo with the Contracts module enabled; at least 1 Third party exists. A contract of Third party "Testldr1" exists (created by the script).
1. Create a draft contract with Third party = Testldr1
2. On Contracts list screen, input "Testldr1" into the Third party filter box
3. Press Enter</t>
        </is>
      </c>
      <c r="D24" s="35" t="inlineStr">
        <is>
          <t>3. Only contracts whose Third party contains "Testldr1" are displayed in the list (at least 1)</t>
        </is>
      </c>
      <c r="E24" s="34" t="inlineStr">
        <is>
          <t>CONTRACT_List_01</t>
        </is>
      </c>
      <c r="F24" s="34" t="inlineStr">
        <is>
          <t>Passed</t>
        </is>
      </c>
      <c r="G24" s="48" t="n">
        <v>46325</v>
      </c>
      <c r="H24" s="35" t="inlineStr">
        <is>
          <t>Automated by Selenium IDE (23130094_BuiAnhHau_ASM7.side)</t>
        </is>
      </c>
    </row>
    <row r="25" ht="94.5" customHeight="1" s="26">
      <c r="A25" s="35" t="inlineStr">
        <is>
          <t>CONTRACT_Search_04</t>
        </is>
      </c>
      <c r="B25" s="35" t="inlineStr">
        <is>
          <t>Check filtering contracts by Status = Draft</t>
        </is>
      </c>
      <c r="C25" s="35" t="inlineStr">
        <is>
          <t>PRE: Signed in the Dolibarr demo with the Contracts module enabled; at least 1 Third party exists. At least 1 contract with Status = Draft exists.
1. Create a draft contract with Third party = Testldr1
2. On Contracts list screen, input "PROV" into the Ref. filter box (draft contracts have a provisional Ref)
3. Press Enter</t>
        </is>
      </c>
      <c r="D25" s="35" t="inlineStr">
        <is>
          <t>3. All displayed contracts have a provisional Ref "(PROV...)" = Status Draft (at least 1)</t>
        </is>
      </c>
      <c r="E25" s="34" t="inlineStr">
        <is>
          <t>CONTRACT_List_01</t>
        </is>
      </c>
      <c r="F25" s="34" t="inlineStr">
        <is>
          <t>Passed</t>
        </is>
      </c>
      <c r="G25" s="48" t="n">
        <v>46325</v>
      </c>
      <c r="H25" s="35" t="inlineStr">
        <is>
          <t>Automated by Selenium IDE (23130094_BuiAnhHau_ASM7.side)</t>
        </is>
      </c>
    </row>
    <row r="26" ht="67.5" customHeight="1" s="26">
      <c r="A26" s="35" t="inlineStr">
        <is>
          <t>CONTRACT_Search_05</t>
        </is>
      </c>
      <c r="B26" s="35" t="inlineStr">
        <is>
          <t>Check clearing the filter</t>
        </is>
      </c>
      <c r="C26" s="35" t="inlineStr">
        <is>
          <t>PRE: Signed in the Dolibarr demo with the Contracts module enabled; at least 1 Third party exists. A filter is applied (e.g. CONTRACT_Search_02).
1. On Contracts list screen with a filter applied, click the clear icon (X) in the filter row</t>
        </is>
      </c>
      <c r="D26" s="35" t="inlineStr">
        <is>
          <t>1. Filter boxes are cleared
    - The full list of contracts is displayed again</t>
        </is>
      </c>
      <c r="E26" s="34" t="inlineStr">
        <is>
          <t>CONTRACT_Search_02</t>
        </is>
      </c>
      <c r="F26" s="34" t="inlineStr">
        <is>
          <t>Passed</t>
        </is>
      </c>
      <c r="G26" s="48" t="n">
        <v>46325</v>
      </c>
      <c r="H26" s="35" t="inlineStr">
        <is>
          <t>Automated by Selenium IDE (23130094_BuiAnhHau_ASM7.side)</t>
        </is>
      </c>
    </row>
    <row r="27" ht="94.5" customHeight="1" s="26">
      <c r="A27" s="35" t="inlineStr">
        <is>
          <t>CONTRACT_Search_06</t>
        </is>
      </c>
      <c r="B27" s="35" t="inlineStr">
        <is>
          <t>Check sorting contracts by Ref (ascending, descending)</t>
        </is>
      </c>
      <c r="C27" s="35" t="inlineStr">
        <is>
          <t>PRE: Signed in the Dolibarr demo with the Contracts module enabled; at least 1 Third party exists. At least 2 contracts exist (default sort is Ref ascending).
1. On Contracts list screen, click the column header [Ref.]
2. Click the column header [Ref.] one more time</t>
        </is>
      </c>
      <c r="D27" s="35" t="inlineStr">
        <is>
          <t>1. The order of contracts is reversed (Ref descending)
2. The order of contracts is back to Ref ascending</t>
        </is>
      </c>
      <c r="E27" s="34" t="inlineStr">
        <is>
          <t>CONTRACT_List_01</t>
        </is>
      </c>
      <c r="F27" s="34" t="inlineStr">
        <is>
          <t>Passed</t>
        </is>
      </c>
      <c r="G27" s="48" t="n">
        <v>46325</v>
      </c>
      <c r="H27" s="35" t="inlineStr">
        <is>
          <t>Automated by Selenium IDE (23130094_BuiAnhHau_ASM7.side)</t>
        </is>
      </c>
    </row>
    <row r="28" ht="94.5" customHeight="1" s="26">
      <c r="A28" s="35" t="inlineStr">
        <is>
          <t>CONTRACT_Search_07</t>
        </is>
      </c>
      <c r="B28" s="35" t="inlineStr">
        <is>
          <t>Check sorting contracts by Contract date (ascending, descending)</t>
        </is>
      </c>
      <c r="C28" s="35" t="inlineStr">
        <is>
          <t>PRE: Signed in the Dolibarr demo with the Contracts module enabled; at least 1 Third party exists. At least 2 contracts with different dates exist.
1. On Contracts list screen, click the column header [Contract date]
2. Click the column header [Contract date] one more time</t>
        </is>
      </c>
      <c r="D28" s="35" t="inlineStr">
        <is>
          <t>1. Contracts are sorted by Contract date in one direction (ascending)
2. Contracts are sorted by Contract date in the opposite direction (descending)</t>
        </is>
      </c>
      <c r="E28" s="34" t="inlineStr">
        <is>
          <t>CONTRACT_List_01</t>
        </is>
      </c>
      <c r="F28" s="34" t="inlineStr">
        <is>
          <t>Passed</t>
        </is>
      </c>
      <c r="G28" s="48" t="n">
        <v>46325</v>
      </c>
      <c r="H28" s="35" t="inlineStr">
        <is>
          <t>Automated by Selenium IDE (23130094_BuiAnhHau_ASM7.side)</t>
        </is>
      </c>
    </row>
    <row r="29" ht="81" customHeight="1" s="26">
      <c r="A29" s="35" t="inlineStr">
        <is>
          <t>CONTRACT_View_01</t>
        </is>
      </c>
      <c r="B29" s="35" t="inlineStr">
        <is>
          <t>Check viewing Contract detail screen by clicking a contract in the list</t>
        </is>
      </c>
      <c r="C29" s="35" t="inlineStr">
        <is>
          <t>PRE: Signed in the Dolibarr demo with the Contracts module enabled; at least 1 Third party exists. At least 1 contract exists in the list.
1. On Contracts list screen, click the Ref of the first contract</t>
        </is>
      </c>
      <c r="D29" s="35" t="inlineStr">
        <is>
          <t>1. Contract detail screen is displayed (tab [Notes] is available)</t>
        </is>
      </c>
      <c r="E29" s="34" t="inlineStr">
        <is>
          <t>CONTRACT_List_01</t>
        </is>
      </c>
      <c r="F29" s="34" t="inlineStr">
        <is>
          <t>Passed</t>
        </is>
      </c>
      <c r="G29" s="48" t="n">
        <v>46325</v>
      </c>
      <c r="H29" s="35" t="inlineStr">
        <is>
          <t>Automated by Selenium IDE (23130094_BuiAnhHau_ASM7.side)</t>
        </is>
      </c>
    </row>
    <row r="30" ht="54" customHeight="1" s="26">
      <c r="A30" s="35" t="inlineStr">
        <is>
          <t>CONTRACT_View_02</t>
        </is>
      </c>
      <c r="B30" s="35" t="inlineStr">
        <is>
          <t>Check going back to the list from Contract detail screen</t>
        </is>
      </c>
      <c r="C30" s="35" t="inlineStr">
        <is>
          <t>PRE: Signed in the Dolibarr demo with the Contracts module enabled; at least 1 Third party exists. Currently on a Contract detail screen.
1. Click [Back to list] link</t>
        </is>
      </c>
      <c r="D30" s="35" t="inlineStr">
        <is>
          <t>1. Contracts list screen is displayed</t>
        </is>
      </c>
      <c r="E30" s="34" t="inlineStr">
        <is>
          <t>CONTRACT_View_01</t>
        </is>
      </c>
      <c r="F30" s="34" t="inlineStr">
        <is>
          <t>Passed</t>
        </is>
      </c>
      <c r="G30" s="48" t="n">
        <v>46325</v>
      </c>
      <c r="H30" s="35" t="inlineStr">
        <is>
          <t>Automated by Selenium IDE (23130094_BuiAnhHau_ASM7.side)</t>
        </is>
      </c>
    </row>
    <row r="31" ht="135" customHeight="1" s="26">
      <c r="A31" s="35" t="inlineStr">
        <is>
          <t>CONTRACT_Edit_01</t>
        </is>
      </c>
      <c r="B31" s="35" t="inlineStr">
        <is>
          <t>Check modifying Ref. customer of a draft contract</t>
        </is>
      </c>
      <c r="C31" s="35" t="inlineStr">
        <is>
          <t>PRE: Signed in the Dolibarr demo with the Contracts module enabled; at least 1 Third party exists. A Draft contract exists (created in CONTRACT_Create_03); new Ref. customer = RC_EDIT_01.
1. Open Contract detail screen of the draft contract
2. Click the edit (pencil) icon next to [Ref. customer]
3. Input Ref. customer = RC_EDIT_01
4. Click the save button next to the input box</t>
        </is>
      </c>
      <c r="D31" s="35" t="inlineStr">
        <is>
          <t>2. Input box of Ref. customer is displayed
4. Ref. customer = RC_EDIT_01 is displayed on Contract detail screen</t>
        </is>
      </c>
      <c r="E31" s="34" t="inlineStr">
        <is>
          <t>CONTRACT_Create_03</t>
        </is>
      </c>
      <c r="F31" s="34" t="inlineStr">
        <is>
          <t>Passed</t>
        </is>
      </c>
      <c r="G31" s="48" t="n">
        <v>46325</v>
      </c>
      <c r="H31" s="35" t="inlineStr">
        <is>
          <t>Automated by Selenium IDE (23130094_BuiAnhHau_ASM7.side)</t>
        </is>
      </c>
    </row>
    <row r="32" ht="121.5" customHeight="1" s="26">
      <c r="A32" s="35" t="inlineStr">
        <is>
          <t>CONTRACT_Edit_02</t>
        </is>
      </c>
      <c r="B32" s="35" t="inlineStr">
        <is>
          <t>Check cancelling modify Ref. customer</t>
        </is>
      </c>
      <c r="C32" s="35" t="inlineStr">
        <is>
          <t>PRE: Signed in the Dolibarr demo with the Contracts module enabled; at least 1 Third party exists. A Draft contract exists (created in CONTRACT_Create_03).
1. Open Contract detail screen of the draft contract
2. Click the edit (pencil) icon next to [Ref. customer]
3. Input Ref. customer = RC_NOEDIT_01
4. Click the cancel button next to the input box</t>
        </is>
      </c>
      <c r="D32" s="35" t="inlineStr">
        <is>
          <t>4. Input box is closed
    - Ref. customer is NOT changed (not RC_NOEDIT_01)</t>
        </is>
      </c>
      <c r="E32" s="34" t="inlineStr">
        <is>
          <t>CONTRACT_Create_03</t>
        </is>
      </c>
      <c r="F32" s="34" t="inlineStr">
        <is>
          <t>Passed</t>
        </is>
      </c>
      <c r="G32" s="48" t="n">
        <v>46325</v>
      </c>
      <c r="H32" s="35" t="inlineStr">
        <is>
          <t>Automated by Selenium IDE (23130094_BuiAnhHau_ASM7.side)</t>
        </is>
      </c>
    </row>
    <row r="33" ht="108" customHeight="1" s="26">
      <c r="A33" s="35" t="inlineStr">
        <is>
          <t>CONTRACT_Delete_01</t>
        </is>
      </c>
      <c r="B33" s="35" t="inlineStr">
        <is>
          <t>Check deleting a draft contract and confirming</t>
        </is>
      </c>
      <c r="C33" s="35" t="inlineStr">
        <is>
          <t>PRE: Signed in the Dolibarr demo with the Contracts module enabled; at least 1 Third party exists. Third party = Testldr1.
1. Open Contracts list screen and write down n in the title "Contracts (n)"
2. Create a draft contract (steps of CONTRACT_Create_03)
3. Click [DELETE] button
4. Confirm deleting on the confirmation message
5. Check the page title of Contracts list</t>
        </is>
      </c>
      <c r="D33" s="35" t="inlineStr">
        <is>
          <t>3. A confirmation message is displayed
4. Back to Contracts list screen
5. Page title is still "Contracts (n)" - the deleted contract is no longer in the list</t>
        </is>
      </c>
      <c r="E33" s="34" t="inlineStr">
        <is>
          <t>CONTRACT_Create_03</t>
        </is>
      </c>
      <c r="F33" s="34" t="inlineStr">
        <is>
          <t>Passed</t>
        </is>
      </c>
      <c r="G33" s="48" t="n">
        <v>46325</v>
      </c>
      <c r="H33" s="35" t="inlineStr">
        <is>
          <t>Automated by Selenium IDE (23130094_BuiAnhHau_ASM7.side)</t>
        </is>
      </c>
    </row>
    <row r="34" ht="108" customHeight="1" s="26">
      <c r="A34" s="35" t="inlineStr">
        <is>
          <t>CONTRACT_Delete_02</t>
        </is>
      </c>
      <c r="B34" s="35" t="inlineStr">
        <is>
          <t>Check cancelling delete contract</t>
        </is>
      </c>
      <c r="C34" s="35" t="inlineStr">
        <is>
          <t>PRE: Signed in the Dolibarr demo with the Contracts module enabled; at least 1 Third party exists. A Draft contract exists (created in CONTRACT_Create_03).
1. Open Contract detail screen of the draft contract
2. Click [DELETE] button
3. Click [No] (or close) on the confirmation message</t>
        </is>
      </c>
      <c r="D34" s="35" t="inlineStr">
        <is>
          <t>3. Confirmation message is closed
    - Contract detail screen is still displayed and the contract still exists</t>
        </is>
      </c>
      <c r="E34" s="34" t="inlineStr">
        <is>
          <t>CONTRACT_Create_03</t>
        </is>
      </c>
      <c r="F34" s="34" t="inlineStr">
        <is>
          <t>Passed</t>
        </is>
      </c>
      <c r="G34" s="48" t="n">
        <v>46325</v>
      </c>
      <c r="H34" s="35" t="inlineStr">
        <is>
          <t>Automated by Selenium IDE (23130094_BuiAnhHau_ASM7.side)</t>
        </is>
      </c>
    </row>
  </sheetData>
  <conditionalFormatting sqref="F9:F996">
    <cfRule type="cellIs" rank="0" priority="2" equalAverage="0" operator="equal" aboveAverage="0" dxfId="0" text="" percent="0" bottom="0">
      <formula>"Passed"</formula>
    </cfRule>
    <cfRule type="cellIs" rank="0" priority="3" equalAverage="0" operator="equal" aboveAverage="0" dxfId="1" text="" percent="0" bottom="0">
      <formula>"Failed"</formula>
    </cfRule>
    <cfRule type="cellIs" rank="0" priority="4" equalAverage="0" operator="equal" aboveAverage="0" dxfId="2" text="" percent="0" bottom="0">
      <formula>"Blocked"</formula>
    </cfRule>
  </conditionalFormatting>
  <dataValidations count="1">
    <dataValidation sqref="F9:F996" showDropDown="0" showInputMessage="0" showErrorMessage="0" allowBlank="1" type="list" errorStyle="stop" operator="between">
      <formula1>$J$2:$J$6</formula1>
      <formula2>0</formula2>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5.xml><?xml version="1.0" encoding="utf-8"?>
<worksheet xmlns="http://schemas.openxmlformats.org/spreadsheetml/2006/main">
  <sheetPr filterMode="0">
    <outlinePr summaryBelow="1" summaryRight="1"/>
    <pageSetUpPr fitToPage="0"/>
  </sheetPr>
  <dimension ref="B1:I18"/>
  <sheetViews>
    <sheetView showFormulas="0" showGridLines="0"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zeroHeight="0" outlineLevelRow="0"/>
  <cols>
    <col width="3" customWidth="1" style="25" min="1" max="1"/>
    <col width="6" customWidth="1" style="25" min="2" max="2"/>
    <col width="22" customWidth="1" style="25" min="3" max="3"/>
    <col width="10" customWidth="1" style="25" min="4" max="8"/>
    <col width="18" customWidth="1" style="25" min="9" max="9"/>
  </cols>
  <sheetData>
    <row r="1" ht="19.7" customHeight="1" s="26">
      <c r="B1" s="37" t="inlineStr">
        <is>
          <t>TEST REPORT</t>
        </is>
      </c>
    </row>
    <row r="3" ht="15" customHeight="1" s="26">
      <c r="B3" s="28" t="inlineStr">
        <is>
          <t>Project Name</t>
        </is>
      </c>
      <c r="C3" s="29">
        <f>Cover!C4</f>
        <v/>
      </c>
      <c r="E3" s="28" t="inlineStr">
        <is>
          <t>Creator</t>
        </is>
      </c>
      <c r="G3" s="29" t="inlineStr">
        <is>
          <t>Bui Anh Hau</t>
        </is>
      </c>
    </row>
    <row r="4" ht="15" customHeight="1" s="26">
      <c r="B4" s="28" t="inlineStr">
        <is>
          <t>Project Code</t>
        </is>
      </c>
      <c r="C4" s="29">
        <f>Cover!C5</f>
        <v/>
      </c>
      <c r="E4" s="28" t="inlineStr">
        <is>
          <t>Reviewer/Approver</t>
        </is>
      </c>
    </row>
    <row r="5" ht="15" customHeight="1" s="26">
      <c r="B5" s="28" t="inlineStr">
        <is>
          <t>Document Code</t>
        </is>
      </c>
      <c r="C5" s="29" t="inlineStr">
        <is>
          <t>DOLIBARR_Test Report</t>
        </is>
      </c>
      <c r="E5" s="28" t="inlineStr">
        <is>
          <t>Issue Date</t>
        </is>
      </c>
      <c r="G5" s="30" t="n">
        <v>46325</v>
      </c>
    </row>
    <row r="6" ht="15" customHeight="1" s="26">
      <c r="B6" s="28" t="inlineStr">
        <is>
          <t>Notes</t>
        </is>
      </c>
    </row>
    <row r="10" ht="23.85" customHeight="1" s="26">
      <c r="B10" s="33" t="inlineStr">
        <is>
          <t>No</t>
        </is>
      </c>
      <c r="C10" s="33" t="inlineStr">
        <is>
          <t>Module code</t>
        </is>
      </c>
      <c r="D10" s="33" t="inlineStr">
        <is>
          <t>Pass</t>
        </is>
      </c>
      <c r="E10" s="33" t="inlineStr">
        <is>
          <t>Fail</t>
        </is>
      </c>
      <c r="F10" s="33" t="inlineStr">
        <is>
          <t>Untested</t>
        </is>
      </c>
      <c r="G10" s="33" t="inlineStr">
        <is>
          <t>Blocked</t>
        </is>
      </c>
      <c r="H10" s="33" t="inlineStr">
        <is>
          <t>Skipped</t>
        </is>
      </c>
      <c r="I10" s="33" t="inlineStr">
        <is>
          <t>Number of  test cases</t>
        </is>
      </c>
    </row>
    <row r="11" ht="15" customHeight="1" s="26">
      <c r="B11" s="34" t="n">
        <v>1</v>
      </c>
      <c r="C11" s="35">
        <f>Contracts!B2</f>
        <v/>
      </c>
      <c r="D11" s="34">
        <f>Contracts!A6</f>
        <v/>
      </c>
      <c r="E11" s="34">
        <f>Contracts!B6</f>
        <v/>
      </c>
      <c r="F11" s="34">
        <f>Contracts!C6</f>
        <v/>
      </c>
      <c r="G11" s="34">
        <f>Contracts!D6</f>
        <v/>
      </c>
      <c r="H11" s="34">
        <f>Contracts!E6</f>
        <v/>
      </c>
      <c r="I11" s="34">
        <f>Contracts!F6</f>
        <v/>
      </c>
    </row>
    <row r="15" ht="15" customHeight="1" s="26">
      <c r="C15" s="33" t="inlineStr">
        <is>
          <t>Sub total</t>
        </is>
      </c>
      <c r="D15" s="33">
        <f>SUM(D11:D14)</f>
        <v/>
      </c>
      <c r="E15" s="33">
        <f>SUM(E11:E14)</f>
        <v/>
      </c>
      <c r="F15" s="33">
        <f>SUM(F11:F14)</f>
        <v/>
      </c>
      <c r="G15" s="33">
        <f>SUM(G11:G14)</f>
        <v/>
      </c>
      <c r="H15" s="33">
        <f>SUM(H11:H14)</f>
        <v/>
      </c>
      <c r="I15" s="33">
        <f>SUM(I11:I14)</f>
        <v/>
      </c>
    </row>
    <row r="17" ht="15" customHeight="1" s="26">
      <c r="C17" s="28" t="inlineStr">
        <is>
          <t>Test coverage</t>
        </is>
      </c>
      <c r="E17" s="49">
        <f>IFERROR((D15+E15)*100/(I15-G15-H15),0)</f>
        <v/>
      </c>
      <c r="F17" s="29" t="inlineStr">
        <is>
          <t>%</t>
        </is>
      </c>
    </row>
    <row r="18" ht="15" customHeight="1" s="26">
      <c r="C18" s="28" t="inlineStr">
        <is>
          <t>Test successful coverage</t>
        </is>
      </c>
      <c r="E18" s="49">
        <f>IFERROR(D15*100/(D15+E15),0)</f>
        <v/>
      </c>
      <c r="F18" s="29" t="inlineStr">
        <is>
          <t>%</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2026-10-21T11:52:12Z</dcterms:created>
  <dcterms:modified xmlns:dcterms="http://purl.org/dc/terms/" xmlns:xsi="http://www.w3.org/2001/XMLSchema-instance" xsi:type="dcterms:W3CDTF">2026-10-30T14:11:58Z</dcterms:modified>
  <cp:revision>0</cp:revision>
</cp:coreProperties>
</file>